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ampaign Map" sheetId="2" r:id="rId5"/>
    <sheet state="visible" name="Transition Bible" sheetId="3" r:id="rId6"/>
    <sheet state="visible" name="Continuity Threads" sheetId="4" r:id="rId7"/>
    <sheet state="visible" name="Open Questions" sheetId="5" r:id="rId8"/>
  </sheets>
  <definedNames/>
  <calcPr/>
  <extLst>
    <ext uri="GoogleSheetsCustomDataVersion2">
      <go:sheetsCustomData xmlns:go="http://customooxmlschemas.google.com/" r:id="rId9" roundtripDataChecksum="Nq7PUSNbgF6V1hLlWbvKwfQid9+/SVYaNjz2I/uDFtM="/>
    </ext>
  </extLst>
</workbook>
</file>

<file path=xl/sharedStrings.xml><?xml version="1.0" encoding="utf-8"?>
<sst xmlns="http://schemas.openxmlformats.org/spreadsheetml/2006/main" count="1073" uniqueCount="824">
  <si>
    <t>Scene #</t>
  </si>
  <si>
    <t>Thread</t>
  </si>
  <si>
    <t>Scene</t>
  </si>
  <si>
    <t>Introduced</t>
  </si>
  <si>
    <t>Chapter</t>
  </si>
  <si>
    <t>Start State / Spawn</t>
  </si>
  <si>
    <t>Progression</t>
  </si>
  <si>
    <t>What Starts the Scene</t>
  </si>
  <si>
    <t>Payoff</t>
  </si>
  <si>
    <t>Primary Location</t>
  </si>
  <si>
    <t>Required Prior Facts</t>
  </si>
  <si>
    <t>Must NOT Happen Before</t>
  </si>
  <si>
    <t>Scene Must Establish</t>
  </si>
  <si>
    <t>Core Purpose</t>
  </si>
  <si>
    <t>Continuity Rule</t>
  </si>
  <si>
    <t>Exact End Beat</t>
  </si>
  <si>
    <t>Entry Trigger</t>
  </si>
  <si>
    <t>Open Decision / Note</t>
  </si>
  <si>
    <t>Next Spawn / Travel Logic</t>
  </si>
  <si>
    <t>Exit / Next Transition</t>
  </si>
  <si>
    <t>Approx. In-World Time</t>
  </si>
  <si>
    <t>Your Notes</t>
  </si>
  <si>
    <t>Time Gap</t>
  </si>
  <si>
    <t>NPC Continuity Checks</t>
  </si>
  <si>
    <t>Margo</t>
  </si>
  <si>
    <t>Weapons / Inventory Continuity</t>
  </si>
  <si>
    <t>Residence / Spawn State</t>
  </si>
  <si>
    <t>Wardrobe / Player Presentation</t>
  </si>
  <si>
    <t>Bada Bing I: meet her and get her number.</t>
  </si>
  <si>
    <t>Margo Thread</t>
  </si>
  <si>
    <t>Persistent World Changes</t>
  </si>
  <si>
    <t>Cabin I: call and schedule date → Front &amp; Center actual date → luxury apartment stayover → morning.</t>
  </si>
  <si>
    <t>Primary Continuity Risk</t>
  </si>
  <si>
    <t>Sasole Thread</t>
  </si>
  <si>
    <t>Human contrast to family life; established relationship persists after No Wake.</t>
  </si>
  <si>
    <t>Implementation / QA Notes</t>
  </si>
  <si>
    <t>Rival War Thread</t>
  </si>
  <si>
    <t>No date/stayover before Cabin call + Front &amp; Center.</t>
  </si>
  <si>
    <t>Never re-introduce Margo after Bing I. Dialogue remembers prior contact.</t>
  </si>
  <si>
    <t>Build Status</t>
  </si>
  <si>
    <t>Decide how much she knows about the family's real business.</t>
  </si>
  <si>
    <t>Continuity Status</t>
  </si>
  <si>
    <t>Squatch Smash Intro</t>
  </si>
  <si>
    <t>Captain Lou Sasole</t>
  </si>
  <si>
    <t>Inside Squatch Smash, no knowledge of larger game.</t>
  </si>
  <si>
    <t>Booski call at cabin; meet Sasole in Beef Run.</t>
  </si>
  <si>
    <t>New Game.</t>
  </si>
  <si>
    <t>None.</t>
  </si>
  <si>
    <t>Beef Run teaches flight and establishes working relationship.</t>
  </si>
  <si>
    <t>Teach only Squatch Smash controls and establish convincing fake game.</t>
  </si>
  <si>
    <t>Enola Squatch serious callback and flying payoff.</t>
  </si>
  <si>
    <t>Quit/Esc is intercepted as story action, not a true exit.</t>
  </si>
  <si>
    <t>Camera physically pulls back into starter apartment; avoid hard-cut if possible.</t>
  </si>
  <si>
    <t>Enola cannot behave like first meeting/first flight.</t>
  </si>
  <si>
    <t>Minutes.</t>
  </si>
  <si>
    <t>All Captain Cecil material becomes Captain Lou Sasole, including throttle/engine lines.</t>
  </si>
  <si>
    <t>Chapter 1: Prospect</t>
  </si>
  <si>
    <t>No family NPCs visible yet.</t>
  </si>
  <si>
    <t>Decide whether Sasole touches Silver Case setup or stays separate until Enola.</t>
  </si>
  <si>
    <t>Squatch Smash inventory must not leak into real-world player inventory.</t>
  </si>
  <si>
    <t>Casual at-home clothing after reveal.</t>
  </si>
  <si>
    <t>CampaignState begins; fake-game run count can be stored for easter eggs.</t>
  </si>
  <si>
    <t>James Blond</t>
  </si>
  <si>
    <t>Squatch Smash / PC game</t>
  </si>
  <si>
    <t>Exposing the apartment/larger-game UI too early.</t>
  </si>
  <si>
    <t>Bada Bing I back-room world.</t>
  </si>
  <si>
    <t>Test Quit, Esc, repeated runs, browser focus, first-time/repeat behavior.</t>
  </si>
  <si>
    <t>Can recur as optional/running Bing thread or later interrogation beat.</t>
  </si>
  <si>
    <t>Fake-out opening. Player believes Squatch Smash is the entire game.</t>
  </si>
  <si>
    <t>Persistent absurdity / later payoff.</t>
  </si>
  <si>
    <t>Game boot / New Game.</t>
  </si>
  <si>
    <t>Later Blond scene cannot act like Prospect never saw/heard of him.</t>
  </si>
  <si>
    <t>Track exact Blond state globally.</t>
  </si>
  <si>
    <t>First Apartment</t>
  </si>
  <si>
    <t>Player presses Quit/Esc after one or more runs; camera begins pulling out of the monitor.</t>
  </si>
  <si>
    <t>Lock full interrogation placement.</t>
  </si>
  <si>
    <t>At gaming PC in starter apartment immediately after reveal.</t>
  </si>
  <si>
    <t>Immediate</t>
  </si>
  <si>
    <t>Camera pullback finishes.</t>
  </si>
  <si>
    <t>Squatch Smash reveal occurred.</t>
  </si>
  <si>
    <t>Billy Hotdog</t>
  </si>
  <si>
    <t>Starter apartment</t>
  </si>
  <si>
    <t>Apartment interaction language, player identity, phone system, Uncle Lou as first external contact.</t>
  </si>
  <si>
    <t>Referenced before/at Bada Bing II as newly released.</t>
  </si>
  <si>
    <t>Lou phone call creates objective to leave for the Bing.</t>
  </si>
  <si>
    <t>None</t>
  </si>
  <si>
    <t>Apartment exit / travel transition to Bada Bing I.</t>
  </si>
  <si>
    <t>Party → Ape/Billy tension → killing → body cleanup.</t>
  </si>
  <si>
    <t>~40 seconds before Lou call; same evening.</t>
  </si>
  <si>
    <t>Graveyard burial.</t>
  </si>
  <si>
    <t>Lou acts like first campaign contact. No Margo/Sasole knowledge.</t>
  </si>
  <si>
    <t>Billy must never appear alive after Bada Bing II.</t>
  </si>
  <si>
    <t>Normal apartment items only.</t>
  </si>
  <si>
    <t>BillyState drives all later spawn/dialogue logic.</t>
  </si>
  <si>
    <t>Dormant</t>
  </si>
  <si>
    <t>Casual clothes.</t>
  </si>
  <si>
    <t>None once burial transition is locked.</t>
  </si>
  <si>
    <t>Phone unlocked; Bing location unlocked.</t>
  </si>
  <si>
    <t>Call firing too quickly and ruining reveal.</t>
  </si>
  <si>
    <t>Jerky Hotel</t>
  </si>
  <si>
    <t>Planned</t>
  </si>
  <si>
    <t>One authoritative phone-call trigger robust to menus/exploration.</t>
  </si>
  <si>
    <t>SQUATCH SMASH — CAMPAIGN STORY BIBLE</t>
  </si>
  <si>
    <t>After Billy burial under current order.</t>
  </si>
  <si>
    <t>Locked</t>
  </si>
  <si>
    <t>Booski sends Prospect there because home may be watched.</t>
  </si>
  <si>
    <t>Bada Bing I</t>
  </si>
  <si>
    <t>Morning clearance allows return to starter apartment.</t>
  </si>
  <si>
    <t>Campaign spine, chapter structure, scene transitions, continuity states, and editable decision log</t>
  </si>
  <si>
    <t>Do not send Prospect home between Graveyard and motel.</t>
  </si>
  <si>
    <t>Arrive at Bing after Lou invitation.</t>
  </si>
  <si>
    <t>Motel needs a concrete antagonist/incident reason.</t>
  </si>
  <si>
    <t>Travel from apartment.</t>
  </si>
  <si>
    <t>Scenes</t>
  </si>
  <si>
    <t>Highest-priority story gap: define who/what causes motel danger.</t>
  </si>
  <si>
    <t>Prospect has not met Margo or Sasole; no prior family assignment.</t>
  </si>
  <si>
    <t>Story Function</t>
  </si>
  <si>
    <t>Scene Count</t>
  </si>
  <si>
    <t>Campaign Principle</t>
  </si>
  <si>
    <t>Family hierarchy, Margo meeting + number, James Blond existence, first-job stakes.</t>
  </si>
  <si>
    <t>What It Means</t>
  </si>
  <si>
    <t>Design Check</t>
  </si>
  <si>
    <t>Lou gives Squatchfather assignment; driver waits.</t>
  </si>
  <si>
    <t>Willy / No Wake</t>
  </si>
  <si>
    <t>0–7</t>
  </si>
  <si>
    <t>The fake-out, first contact, first kill, hiding out, and proving useful to Sasole.</t>
  </si>
  <si>
    <t>Reveal the larger game and establish the Prospect's ordinary life.</t>
  </si>
  <si>
    <t>Driver transports Prospect directly to restaurant.</t>
  </si>
  <si>
    <t>Willy exists normally through earlier Bing scenes.</t>
  </si>
  <si>
    <t>Camera completes pullback from the Squatch Smash monitor.</t>
  </si>
  <si>
    <t>Same night.</t>
  </si>
  <si>
    <t>Suspicion culminates on boat; Negev story exposes him.</t>
  </si>
  <si>
    <t>~40 seconds after the reveal, Uncle Lou calls and tells the Prospect to come down to the Bing. Player leaves apartment.</t>
  </si>
  <si>
    <t>Margo first-introduction only. James Blond is introduction, not payoff. Ensemble first-meet variants.</t>
  </si>
  <si>
    <t>Executed by Prospect/Lou/Booski; body bagged.</t>
  </si>
  <si>
    <t>Same evening</t>
  </si>
  <si>
    <t>Mission weapon handoff must be deliberate.</t>
  </si>
  <si>
    <t>No living Willy after No Wake outside flashbacks.</t>
  </si>
  <si>
    <t>Status Ladder</t>
  </si>
  <si>
    <t>Nobody → useful Prospect → trusted associate → inner-circle operator → war-tested → made member</t>
  </si>
  <si>
    <t>Does each chapter visibly change how the family treats the player?</t>
  </si>
  <si>
    <t>Chapter 2: Family Business</t>
  </si>
  <si>
    <t>8–11</t>
  </si>
  <si>
    <t>Billy Hotdog pulls the Prospect into the ugly internal cleanup side of the family.</t>
  </si>
  <si>
    <t>Casual/slightly cleaned-up Bing outfit.</t>
  </si>
  <si>
    <t>WillyState authoritative across all loaders.</t>
  </si>
  <si>
    <t>Not met</t>
  </si>
  <si>
    <t>Decide whether earlier scenes seed subtle rat clues.</t>
  </si>
  <si>
    <t>MargoState=number_acquired; Squatchfather unlocked.</t>
  </si>
  <si>
    <t>Home Ladder</t>
  </si>
  <si>
    <t>Starter apartment → cabin hideout → starter return → luxury apartment → mansion guest → initiation cabin</t>
  </si>
  <si>
    <t>Does each location reflect current status?</t>
  </si>
  <si>
    <t>Chapter 3: Moving Up</t>
  </si>
  <si>
    <t>12–19</t>
  </si>
  <si>
    <t>Return to normal life, Silver Pines, Front &amp; Center, Margo, better apartment, and No Wake.</t>
  </si>
  <si>
    <t>Duplicate introductions on later visits.</t>
  </si>
  <si>
    <t>Margo Arc</t>
  </si>
  <si>
    <t>Meet/get number → cabin call → Front &amp; Center date → stayover → morning exit</t>
  </si>
  <si>
    <t>No extra date mission needed.</t>
  </si>
  <si>
    <t>Recurring NPCs need first-meet vs repeat-meet dialogue gates.</t>
  </si>
  <si>
    <t>Chapter 4: The Inner Circle</t>
  </si>
  <si>
    <t>20–22</t>
  </si>
  <si>
    <t>The Silver Case gets the Prospect inside Lou's mansion and inside the deepest family secrets.</t>
  </si>
  <si>
    <t>Sasole Arc</t>
  </si>
  <si>
    <t>Meet via Beef Run → flight tutorial → Enola payoff</t>
  </si>
  <si>
    <t>Enola must remember Beef Run.</t>
  </si>
  <si>
    <t>Chapter 5: War</t>
  </si>
  <si>
    <t>23–26</t>
  </si>
  <si>
    <t>Mansion defense, Enola counterstrike, recovery, and the assault on the rival palace.</t>
  </si>
  <si>
    <t>Silver Case / Squatchanium</t>
  </si>
  <si>
    <t>War Arc</t>
  </si>
  <si>
    <t>Silver Case → Mansion → Siege → Enola → repaired Mansion → Palace → initiation approval</t>
  </si>
  <si>
    <t>Every mission must cause the next one.</t>
  </si>
  <si>
    <t>Silver Case Setup after No Wake.</t>
  </si>
  <si>
    <t>Chapter 6: This Thing of Ours</t>
  </si>
  <si>
    <t>27–29</t>
  </si>
  <si>
    <t>The Squatchfather</t>
  </si>
  <si>
    <t>The suspicious pickup and final initiation payoff.</t>
  </si>
  <si>
    <t>Custody → Mansion → Lou reveal → Booski/lab.</t>
  </si>
  <si>
    <t>Driver arrival at restaurant with first-job loadout.</t>
  </si>
  <si>
    <t>Key Metric</t>
  </si>
  <si>
    <t>Exit Bing in family vehicle.</t>
  </si>
  <si>
    <t>Value</t>
  </si>
  <si>
    <t>Silent Squatch completion and final-act trigger.</t>
  </si>
  <si>
    <t>Target / Meaning</t>
  </si>
  <si>
    <t>Lou assigned hit; Prospect has Margo's number.</t>
  </si>
  <si>
    <t>Notes</t>
  </si>
  <si>
    <t>Total Main Scenes</t>
  </si>
  <si>
    <t>Lab cannot complete before case delivery.</t>
  </si>
  <si>
    <t>Bada Bing</t>
  </si>
  <si>
    <t>First kill and immediate consequences; cannot return home.</t>
  </si>
  <si>
    <t>Case persists physically across travel until handoff.</t>
  </si>
  <si>
    <t>Introduce Lou, Booski, Rippin, the ensemble cast, Margo, family tone, and James Blond Scene. Get Margo's number. Receive first real assignment.</t>
  </si>
  <si>
    <t>30 scenes (#0–#29)</t>
  </si>
  <si>
    <t>Target dead; driver orders Prospect into car.</t>
  </si>
  <si>
    <t>Continuity Decisions Still Open</t>
  </si>
  <si>
    <t>Define who gives the case and how rivals learn about it.</t>
  </si>
  <si>
    <t>Driver takes Prospect to remote cabin.</t>
  </si>
  <si>
    <t>Arrival after Lou's phone call.</t>
  </si>
  <si>
    <t>Drive these to zero before final campaign lock</t>
  </si>
  <si>
    <t>Scenes Marked 'Needs Decision'</t>
  </si>
  <si>
    <t>Late night.</t>
  </si>
  <si>
    <t>Mansion</t>
  </si>
  <si>
    <t>Lou assigns the Squatchfather job. A family driver takes the Prospect directly to the job.</t>
  </si>
  <si>
    <t>Prioritize transition logic before adding new main missions</t>
  </si>
  <si>
    <t>Driver knows why extracting Prospect; Lou cabin call references success.</t>
  </si>
  <si>
    <t>Major Relationship Threads</t>
  </si>
  <si>
    <t>Same night</t>
  </si>
  <si>
    <t>Use global state, never scene-local reinvention</t>
  </si>
  <si>
    <t>First proper arrival with Silver Case.</t>
  </si>
  <si>
    <t>Current Campaign End</t>
  </si>
  <si>
    <t>Initiation Cabin</t>
  </si>
  <si>
    <t>Prospect becomes a made member</t>
  </si>
  <si>
    <t>Decide if mission gun is retained or collected.</t>
  </si>
  <si>
    <t>Core causal chain</t>
  </si>
  <si>
    <t>Peaceful lab/explore/dinner/overnight → Siege → repaired return.</t>
  </si>
  <si>
    <t>Meet Margo; get number</t>
  </si>
  <si>
    <t>Job-appropriate clothing.</t>
  </si>
  <si>
    <t>Player knows space before defending it; repaired version carries scars.</t>
  </si>
  <si>
    <t>SquatchfatherComplete=True; heatLevel rises; apartment temporarily unsafe.</t>
  </si>
  <si>
    <t>Lou notices Prospect → Bing → Squatchfather → cabin lay-low → Beef Run → Billy cleanup → moving up / Margo / Front &amp; Center → No Wake trust milestone → Silver Case → mansion access → Mansion Siege → Enola counterstrike → Cartel Palace retaliation → special meeting → initiation</t>
  </si>
  <si>
    <t>No siege damage during peaceful visit.</t>
  </si>
  <si>
    <t>Allowing free return to town after hit.</t>
  </si>
  <si>
    <t>MansionState controls props, guards, dialogue, music, objectives, damage variants.</t>
  </si>
  <si>
    <t>Hard-gate post-hit destination to cabin; save after extraction.</t>
  </si>
  <si>
    <t>Recommended overnight reason: lab/dinner runs late.</t>
  </si>
  <si>
    <t>Playable</t>
  </si>
  <si>
    <t>Rival War</t>
  </si>
  <si>
    <t>Mapped</t>
  </si>
  <si>
    <t>Tension rises around Silver Case.</t>
  </si>
  <si>
    <t>Cabin I: Lay Low</t>
  </si>
  <si>
    <t>Mansion attack → Siege intel → Enola → repaired-mansion debrief → Palace.</t>
  </si>
  <si>
    <t>Cabin after driver drop-off.</t>
  </si>
  <si>
    <t>Palace decisively closes war and earns initiation approval.</t>
  </si>
  <si>
    <t>Arrival from Squatchfather extraction.</t>
  </si>
  <si>
    <t>Squatchfather complete; heat high; Margo number acquired.</t>
  </si>
  <si>
    <t>Initiation should not happen while war unresolved.</t>
  </si>
  <si>
    <t>Lou approval, lay-low reason, cabin geography, Margo date scheduled.</t>
  </si>
  <si>
    <t>Each war mission produces the reason for the next.</t>
  </si>
  <si>
    <t>Required exploration + Margo call complete; remain at cabin.</t>
  </si>
  <si>
    <t>Restaurant</t>
  </si>
  <si>
    <t>Stay until Booski call triggers.</t>
  </si>
  <si>
    <t>Define leak/motive and exact Enola target.</t>
  </si>
  <si>
    <t>First serious assignment and first real kill. The Prospect crosses the line.</t>
  </si>
  <si>
    <t>Next day / short hide period.</t>
  </si>
  <si>
    <t>Margo references Bing meeting, never re-introduces. Lou knows Squatchfather outcome.</t>
  </si>
  <si>
    <t>Player Residence</t>
  </si>
  <si>
    <t>Family driver drops Prospect at restaurant after Bing I.</t>
  </si>
  <si>
    <t>Resolve retained weapon; no late-game arsenal.</t>
  </si>
  <si>
    <t>Starter apartment after fake-out.</t>
  </si>
  <si>
    <t>After the hit, the same driver extracts the Prospect and takes him straight to the remote cabin. Do not return home.</t>
  </si>
  <si>
    <t>Cabin casual.</t>
  </si>
  <si>
    <t>Late night</t>
  </si>
  <si>
    <t>MargoState=date_scheduled; cabin discovered; heat cooling.</t>
  </si>
  <si>
    <t>Cabin temporary → starter return → luxury upgrade → mansion guest only overnight.</t>
  </si>
  <si>
    <t>Margo call before number acquired or repeatable forever.</t>
  </si>
  <si>
    <t>Cabin safehouse</t>
  </si>
  <si>
    <t>Luxury apartment is stable home before date/stayover and through final act.</t>
  </si>
  <si>
    <t>Gate on MargoState=number_acquired and store one-time completion.</t>
  </si>
  <si>
    <t>Has Margo's number</t>
  </si>
  <si>
    <t>Margo cannot come home to luxury apartment before player is introduced to it.</t>
  </si>
  <si>
    <t>Residence is campaign state, not inferred from last scene.</t>
  </si>
  <si>
    <t>Booski / Sasole Call</t>
  </si>
  <si>
    <t>Decide narrative source of apartment upgrade.</t>
  </si>
  <si>
    <t>Still at cabin.</t>
  </si>
  <si>
    <t>Cabin objectives complete + story gate.</t>
  </si>
  <si>
    <t>Prospect Status / Trust</t>
  </si>
  <si>
    <t>Laying low, knows Booski, has not met Sasole.</t>
  </si>
  <si>
    <t>Nobody at opening.</t>
  </si>
  <si>
    <t>Reason Sasole needs help and why Prospect is convenient.</t>
  </si>
  <si>
    <t>Booski gives travel instructions.</t>
  </si>
  <si>
    <t>Squatchfather follows orders → Billy keeps secrets → No Wake trusted internally → Silver Case sensitive access → Siege loyalty → Enola/Palace war commitment.</t>
  </si>
  <si>
    <t>Transition to rural airstrip.</t>
  </si>
  <si>
    <t>Initiation changes status to made member.</t>
  </si>
  <si>
    <t>Same day.</t>
  </si>
  <si>
    <t>No made-man treatment before Palace closes war.</t>
  </si>
  <si>
    <t>Booski references Prospect already being 'out that way.' Sasole intro next scene.</t>
  </si>
  <si>
    <t>Country cabin + surrounding land</t>
  </si>
  <si>
    <t>No sudden heavy weapons.</t>
  </si>
  <si>
    <t>Dialogue tiers driven by prospectTrust / prospectStatus.</t>
  </si>
  <si>
    <t>Decompression, exploration, and first personal choice after the hit. Lou says good job and orders the Prospect to stay quiet. Call Margo and arrange the Front &amp; Center date.</t>
  </si>
  <si>
    <t>Cabin/travel clothes.</t>
  </si>
  <si>
    <t>Define 3–4 reusable dialogue trust tiers.</t>
  </si>
  <si>
    <t>Driver drops Prospect at cabin after Squatchfather.</t>
  </si>
  <si>
    <t>After exploration and Margo call, the Prospect remains at cabin until Booski phones about Captain Sasole.</t>
  </si>
  <si>
    <t>Next day / short lay-low period</t>
  </si>
  <si>
    <t>BeefRun unlocked.</t>
  </si>
  <si>
    <t>Booski acting as if Prospect already knows Sasole.</t>
  </si>
  <si>
    <t>Dialogue branch on SasoleState=not_met.</t>
  </si>
  <si>
    <t>Date scheduled</t>
  </si>
  <si>
    <t>Beef Run</t>
  </si>
  <si>
    <t>At Sasole's rural airstrip.</t>
  </si>
  <si>
    <t>Travel from cabin.</t>
  </si>
  <si>
    <t>Margo date scheduled; first work with Sasole.</t>
  </si>
  <si>
    <t>Sasole personality, flying tutorial, engine/throttle language, working relationship.</t>
  </si>
  <si>
    <t>Successful return/landing.</t>
  </si>
  <si>
    <t>Cabin</t>
  </si>
  <si>
    <t>Create an organic reason for the Prospect to meet Captain Lou Sasole while already out in the country.</t>
  </si>
  <si>
    <t>Transport/fade back to cabin.</t>
  </si>
  <si>
    <t>Triggered after required cabin objectives are complete.</t>
  </si>
  <si>
    <t>Booski tells Prospect Captain Sasole needs an extra hand nearby; mission transition moves Prospect to the airstrip.</t>
  </si>
  <si>
    <t>All Captain Cecil references become Captain Lou Sasole. Enola remembers this mission.</t>
  </si>
  <si>
    <t>Same day</t>
  </si>
  <si>
    <t>Flight inventory does not persist as player gear.</t>
  </si>
  <si>
    <t>Flight/utility clothes.</t>
  </si>
  <si>
    <t>SasoleState=beef_run_complete; flightTutorialComplete=True.</t>
  </si>
  <si>
    <t>Enola reteaching everything like Beef Run never happened.</t>
  </si>
  <si>
    <t>Store tutorial completion; abbreviated reminders in Enola.</t>
  </si>
  <si>
    <t>Introduction pending</t>
  </si>
  <si>
    <t>Cabin II</t>
  </si>
  <si>
    <t>Back at cabin after Beef Run.</t>
  </si>
  <si>
    <t>Return from airstrip.</t>
  </si>
  <si>
    <t>Heat cooling; Billy about to be released.</t>
  </si>
  <si>
    <t>End lay-low period and re-anchor family business.</t>
  </si>
  <si>
    <t>Lou/Booski says heat is down and Billy is getting out.</t>
  </si>
  <si>
    <t>Priority</t>
  </si>
  <si>
    <t>Return to town/Bing.</t>
  </si>
  <si>
    <t>Rural airstrip / aircraft / mountain route</t>
  </si>
  <si>
    <t>Decision</t>
  </si>
  <si>
    <t>Later same day or next day.</t>
  </si>
  <si>
    <t>Introduce Sasole, teach flying systems in a lower-stakes contraband mission, and build trust that will later pay off in Enola Squatch.</t>
  </si>
  <si>
    <t>Recommended Answer</t>
  </si>
  <si>
    <t>Call can acknowledge Beef Run but focuses on Billy.</t>
  </si>
  <si>
    <t>Why It Matters</t>
  </si>
  <si>
    <t>Prospect arrives at airstrip after Booski's call.</t>
  </si>
  <si>
    <t>Affected Scenes</t>
  </si>
  <si>
    <t>Resolve cabin-held weapons before leaving.</t>
  </si>
  <si>
    <t>Mission ends with successful return/landing. Sasole or transport returns Prospect to the cabin.</t>
  </si>
  <si>
    <t>Status</t>
  </si>
  <si>
    <t>Normal town clothes.</t>
  </si>
  <si>
    <t>Your Decision / Notes</t>
  </si>
  <si>
    <t>heatLevel=low; cabin arc complete; BingII unlocked.</t>
  </si>
  <si>
    <t>P0</t>
  </si>
  <si>
    <t>Later scenes still treating player as hiding.</t>
  </si>
  <si>
    <t>Why exactly does Jerky Hotel happen after the graveyard?</t>
  </si>
  <si>
    <t>Single heat-state flag across dialogue.</t>
  </si>
  <si>
    <t>Beef Run complete; knows Sasole</t>
  </si>
  <si>
    <t>Booski tells Prospect not to return home because Billy's disappearance may create attention; use motel as anonymous overnight hideout. Define existing danger beat as a targeted tail or clearly explained unrelated encounter.</t>
  </si>
  <si>
    <t>Without a bridge, motel feels like a leftover mission.</t>
  </si>
  <si>
    <t>9–11</t>
  </si>
  <si>
    <t>Open</t>
  </si>
  <si>
    <t>Bada Bing II: Billy Hotdog</t>
  </si>
  <si>
    <t>Yeah Im not sure where else to shoehorn this in, and he's already in the car with Snow so we go there. Just leave it.</t>
  </si>
  <si>
    <t>Bing during Billy release party.</t>
  </si>
  <si>
    <t>What does Lou mean by 'we got a new space'?</t>
  </si>
  <si>
    <t>Return from cabin after call.</t>
  </si>
  <si>
    <t>Current assumption: Front &amp; Center is the new family venue/business; Silver Pines is where Lou tells Prospect about it.</t>
  </si>
  <si>
    <t>This line connects old apartment, golf, and Front &amp; Center.</t>
  </si>
  <si>
    <t>Billy alive/released; Ape history exists.</t>
  </si>
  <si>
    <t>11–15</t>
  </si>
  <si>
    <t>Party mood, Billy/Ape tension, ensemble persistence.</t>
  </si>
  <si>
    <t>How about he tells the prospect we got a new space about the Front and Center club and he suggests he takes that girl from the bing hes been tlaking to there.  He also mentions not to let her know anything she shouldnt.</t>
  </si>
  <si>
    <t>Billy dies; body prepared for transport.</t>
  </si>
  <si>
    <t>Country cabin</t>
  </si>
  <si>
    <t>Why does Prospect receive the luxury apartment?</t>
  </si>
  <si>
    <t>Direct move to graveyard.</t>
  </si>
  <si>
    <t>Close the lay-low arc. Let the player breathe before Billy pulls them back into family business.</t>
  </si>
  <si>
    <t>Make it a visible reward/status upgrade after Silver Pines, before Front &amp; Center. Could be new earnings or family-arranged.</t>
  </si>
  <si>
    <t>Apartment should represent upward mobility, not exist just for Margo.</t>
  </si>
  <si>
    <t>Return from Beef Run.</t>
  </si>
  <si>
    <t>Willy still alive. Margo never re-introduces. Aubbie identity consistent if present.</t>
  </si>
  <si>
    <t>13–17</t>
  </si>
  <si>
    <t>Lou/Booski calls: heat has died down; come back to the Bing because 'Ol Billy is getting out.' Transport/scene transition returns Prospect to town.</t>
  </si>
  <si>
    <t>Party loadout should not imply planned murder unless intended.</t>
  </si>
  <si>
    <t>Lou gifts it to him as a reward for his good work so far. "taking care of that thing for him"</t>
  </si>
  <si>
    <t>Later that day / next day</t>
  </si>
  <si>
    <t>Party/casual attire.</t>
  </si>
  <si>
    <t>How do rivals learn about the Silver Case / mansion target?</t>
  </si>
  <si>
    <t>Starter apartment after chapter</t>
  </si>
  <si>
    <t>BillyState=dead; cleanupInProgress=True.</t>
  </si>
  <si>
    <t>Use a leak, tracked courier/vehicle, compromised contact, or surveillance. Reveal can happen later, but campaign state should know the cause.</t>
  </si>
  <si>
    <t>Makes final act one causal storyline.</t>
  </si>
  <si>
    <t>Billy/Willy spawning in contradictory states later.</t>
  </si>
  <si>
    <t>20–26</t>
  </si>
  <si>
    <t>Knows Sasole</t>
  </si>
  <si>
    <t>Recommended</t>
  </si>
  <si>
    <t>Central NPC persistence registry removes/replaces Billy after death.</t>
  </si>
  <si>
    <t>Thats fine, lets keep it from the Sauce who ratted</t>
  </si>
  <si>
    <t>What exact intel from Mansion Siege launches Enola Squatch?</t>
  </si>
  <si>
    <t>Recover phone/radio/documents/manifest identifying immediate rival weapons depot, convoy or staging site.</t>
  </si>
  <si>
    <t>Enola needs an urgent concrete target.</t>
  </si>
  <si>
    <t>23–24</t>
  </si>
  <si>
    <t>Graveyard</t>
  </si>
  <si>
    <t>Graveyard with Billy body.</t>
  </si>
  <si>
    <t>This could be where we insert the "taken" parody phone call - Lou talks to someone from the A team on the phone.  And then he sends you all out just to bomb the whole city.</t>
  </si>
  <si>
    <t>Direct continuation from Bing II.</t>
  </si>
  <si>
    <t>Billy dead/body bagged; Prospect involved.</t>
  </si>
  <si>
    <t>What does Enola reveal that leads toward Cartel Palace?</t>
  </si>
  <si>
    <t>Concealment consequences and reason not to go home.</t>
  </si>
  <si>
    <t>Destroyed target yields photos/manifests/comms/documents tying logistics to rival leadership estate.</t>
  </si>
  <si>
    <t>Creates Siege → Enola → Palace cause-and-effect.</t>
  </si>
  <si>
    <t>Burial complete; Booski says do not go home tonight.</t>
  </si>
  <si>
    <t>24–26</t>
  </si>
  <si>
    <t>Send Prospect to Jerky Hotel.</t>
  </si>
  <si>
    <t>Celebration turns into internal family violence. The Prospect sees that family business is not just assignments.</t>
  </si>
  <si>
    <t xml:space="preserve">No when you get back from the Mansion, Lou reveals we accidentally bombed the wrong city.  ITs a joke because the amount of force is so excessive and then we find out it wasnt even the right city.  But now Sauce is missing and we have a lead on the A Team leaders palace.  Dont mention Marks name until his boss fight that should be a funny inside joke reveal. </t>
  </si>
  <si>
    <t>Very late night.</t>
  </si>
  <si>
    <t>P1</t>
  </si>
  <si>
    <t>Prospect returns from cabin because Billy is getting out.</t>
  </si>
  <si>
    <t>Dialogue treats Billy death as minutes ago.</t>
  </si>
  <si>
    <t>Why does Lou keep Prospect overnight at mansion?</t>
  </si>
  <si>
    <t>After lab completion, mansion exploration and dinner, Lou says it is too late to drive back and gives Prospect a guest room.</t>
  </si>
  <si>
    <t>Billy is killed. Cleanup begins immediately; body is prepared for transport to the graveyard.</t>
  </si>
  <si>
    <t>Cleanup/body tools cleared at completion.</t>
  </si>
  <si>
    <t>Siege must start with player already asleep there and familiar with layout.</t>
  </si>
  <si>
    <t>22–23</t>
  </si>
  <si>
    <t>Dirty/night clothes can persist.</t>
  </si>
  <si>
    <t>Starter apartment unavailable tonight</t>
  </si>
  <si>
    <t>Yes, Lou doesn't explain it's too late to drive back he basically just says things are hot right now why dont you stay here Prospect? and the Prospect gets the hint and agrees to stay</t>
  </si>
  <si>
    <t>BillyState=buried; apartmentRisk=possible_watch.</t>
  </si>
  <si>
    <t>Motel feeling disconnected.</t>
  </si>
  <si>
    <t>Explicit Booski bridge cemetery → motel.</t>
  </si>
  <si>
    <t>How much does Margo know?</t>
  </si>
  <si>
    <t>Keep her largely outside criminal truth. She knows Prospect has strange work/friends and disappears, but not structure.</t>
  </si>
  <si>
    <t>Preserves domestic/criminal contrast.</t>
  </si>
  <si>
    <t>2,4,15–19</t>
  </si>
  <si>
    <t>Jerky Hotel / Motel</t>
  </si>
  <si>
    <t>Cheap motel room after graveyard.</t>
  </si>
  <si>
    <t>Where does full James Blond interrogation live?</t>
  </si>
  <si>
    <t>Introduce Blond at Bing I. Put full interaction on later Bing visit or optional side beat unless it cleanly fits Bing I.</t>
  </si>
  <si>
    <t>Booski sends Prospect there.</t>
  </si>
  <si>
    <t>Preserves first-assignment pacing while keeping Blond persistent.</t>
  </si>
  <si>
    <t>2,8 and/or side content</t>
  </si>
  <si>
    <t>Billy buried; home considered risky.</t>
  </si>
  <si>
    <t>Reason for motel, danger/combat beat, morning clearance.</t>
  </si>
  <si>
    <t xml:space="preserve">He is just at the first Bing scene - Thats it. </t>
  </si>
  <si>
    <t>Motel incident resolved; morning contact clears return home.</t>
  </si>
  <si>
    <t>How much time passes between Enola and Repaired Mansion?</t>
  </si>
  <si>
    <t>Use clear days/weeks time cue and leave a few permanent scars even if repairs are advanced.</t>
  </si>
  <si>
    <t>Return to starter apartment.</t>
  </si>
  <si>
    <t>Prevents instant-magical repair continuity.</t>
  </si>
  <si>
    <t>Cemetery / graveyard</t>
  </si>
  <si>
    <t>24–25</t>
  </si>
  <si>
    <t>Overnight.</t>
  </si>
  <si>
    <t>Direct Billy cleanup. The Prospect becomes complicit in concealment, not merely the killing.</t>
  </si>
  <si>
    <t>Attacker/pop-out needs defined reason or clearly explained bad-luck encounter.</t>
  </si>
  <si>
    <t xml:space="preserve">Use a few days.. </t>
  </si>
  <si>
    <t>Crew transports Billy's body from Bada Bing II.</t>
  </si>
  <si>
    <t>Decide sidearm state to match motel combat.</t>
  </si>
  <si>
    <t>Billy is buried. Recommended bridge: Booski tells Prospect not to go home yet because the night is too hot and his apartment may be watched.</t>
  </si>
  <si>
    <t>Same clothes overnight, optional change.</t>
  </si>
  <si>
    <t>Very late night</t>
  </si>
  <si>
    <t>What closes the rival war at Cartel Palace?</t>
  </si>
  <si>
    <t>apartmentRisk=cleared.</t>
  </si>
  <si>
    <t>Define decisive objective: leadership neutralized/captured, command records seized, or operation dismantled. Evidence pickup alone is not enough.</t>
  </si>
  <si>
    <t>Temporary motel</t>
  </si>
  <si>
    <t>Initiation only lands if war feels actually over.</t>
  </si>
  <si>
    <t>Who/what causes motel danger.</t>
  </si>
  <si>
    <t>26–29</t>
  </si>
  <si>
    <t>OPEN: lock motel antagonist/trigger.</t>
  </si>
  <si>
    <t>Needs Decision</t>
  </si>
  <si>
    <t>When we kill Sauce, Mark and the whole crew</t>
  </si>
  <si>
    <t>P2</t>
  </si>
  <si>
    <t>What happens immediately after initiation?</t>
  </si>
  <si>
    <t>TBD epilogue/free-roam/credits beat. Even a short post-ceremony state helps the status change land.</t>
  </si>
  <si>
    <t>Return to Old Apartment</t>
  </si>
  <si>
    <t>Ends this arc without making the application simply stop.</t>
  </si>
  <si>
    <t>29+</t>
  </si>
  <si>
    <t>Starter apartment next morning/day.</t>
  </si>
  <si>
    <t>Credits roll</t>
  </si>
  <si>
    <t>Clearance after motel.</t>
  </si>
  <si>
    <t>Lay-low/Billy arcs over; Margo date still scheduled.</t>
  </si>
  <si>
    <t>Normal-life decompression and family prosperity.</t>
  </si>
  <si>
    <t>Lou calls about a 'new space' and Silver Pines.</t>
  </si>
  <si>
    <t>Travel to golf course.</t>
  </si>
  <si>
    <t>Roadside motel</t>
  </si>
  <si>
    <t>Daytime.</t>
  </si>
  <si>
    <t>Temporary anonymous hideout after Billy burial; existing motel danger/combat beat can happen here without breaking the campaign.</t>
  </si>
  <si>
    <t>Margo can text but date not happened. Billy never appears alive.</t>
  </si>
  <si>
    <t>Booski sends Prospect to a cheap motel after the graveyard instead of letting him go home.</t>
  </si>
  <si>
    <t>Normal home loadout.</t>
  </si>
  <si>
    <t>Casual home clothes.</t>
  </si>
  <si>
    <t>Survive/resolve the motel sequence. By morning the immediate risk has passed and Prospect is cleared to return to his apartment.</t>
  </si>
  <si>
    <t>starter apartment active; SilverPines unlocked.</t>
  </si>
  <si>
    <t>Overnight</t>
  </si>
  <si>
    <t>Front &amp; Center/date triggering before Silver Pines.</t>
  </si>
  <si>
    <t>Gate date on SilverPinesComplete + MargoState=date_scheduled.</t>
  </si>
  <si>
    <t>Lou's 'New Space' Call</t>
  </si>
  <si>
    <t>Starter apartment after decompression.</t>
  </si>
  <si>
    <t>Lou's scheduled call.</t>
  </si>
  <si>
    <t>Back in town, still prospect, date scheduled.</t>
  </si>
  <si>
    <t>Family growth and Silver Pines invitation.</t>
  </si>
  <si>
    <t>Lou: 'We got a new space. Come meet us on the course.'</t>
  </si>
  <si>
    <t>Travel to Silver Pines.</t>
  </si>
  <si>
    <t>Lou uses consistent meaning for 'new space.'</t>
  </si>
  <si>
    <t>Return to normal life after the cabin/Billy stretch. Show that normal now feels different.</t>
  </si>
  <si>
    <t>No special loadout.</t>
  </si>
  <si>
    <t>Morning after Jerky Hotel.</t>
  </si>
  <si>
    <t>Golf-ready change optional.</t>
  </si>
  <si>
    <t>After a short decompression/exploration window, Lou calls about a 'new space' and asks Prospect to meet the crew on the course at Silver Pines.</t>
  </si>
  <si>
    <t>newSpaceTeased=True.</t>
  </si>
  <si>
    <t>Daytime</t>
  </si>
  <si>
    <t>Ambiguity whether new space means Front &amp; Center or apartment.</t>
  </si>
  <si>
    <t>CURRENT ASSUMPTION: new space = Front &amp; Center operation.</t>
  </si>
  <si>
    <t>Silver Pines Golf Course</t>
  </si>
  <si>
    <t>Silver Pines with crew.</t>
  </si>
  <si>
    <t>Arrival after Lou call.</t>
  </si>
  <si>
    <t>New-space tease exists; Margo date scheduled.</t>
  </si>
  <si>
    <t>Crew social dynamic, Prospect inclusion, venue/business context.</t>
  </si>
  <si>
    <t>Front &amp; Center/date timing clear; Prospect leaves for upgrade/date-prep.</t>
  </si>
  <si>
    <t>Transition to luxury apartment.</t>
  </si>
  <si>
    <t>Same day / before date.</t>
  </si>
  <si>
    <t>Kick off the organization/status-growth chapter and set up Silver Pines + Front &amp; Center.</t>
  </si>
  <si>
    <t>Everyone reflects post-Billy continuity; Willy still alive.</t>
  </si>
  <si>
    <t>Triggered after apartment decompression.</t>
  </si>
  <si>
    <t>Golf equipment does not persist.</t>
  </si>
  <si>
    <t>Golf attire → later date attire.</t>
  </si>
  <si>
    <t>Lou: 'We got a new space. Come meet us on the course.' Prospect travels to Silver Pines.</t>
  </si>
  <si>
    <t>SilverPinesComplete=True; frontAndCenterUnlocked=True.</t>
  </si>
  <si>
    <t>Golf scene not advancing story.</t>
  </si>
  <si>
    <t>Give Lou line bridging course → new venue/date night.</t>
  </si>
  <si>
    <t>Luxury Apartment Introduction</t>
  </si>
  <si>
    <t>First entrance to luxury apartment.</t>
  </si>
  <si>
    <t>After Silver Pines.</t>
  </si>
  <si>
    <t>Prospect earned visible upgrade; date scheduled.</t>
  </si>
  <si>
    <t>New home layout, residence change, date-prep objective.</t>
  </si>
  <si>
    <t>Complete get-ready flow and leave.</t>
  </si>
  <si>
    <t>Travel to Front &amp; Center.</t>
  </si>
  <si>
    <t>Date night.</t>
  </si>
  <si>
    <t>Silver Pines</t>
  </si>
  <si>
    <t>Margo has not been to apartment yet.</t>
  </si>
  <si>
    <t>Low-action family social scene. Show the Prospect being included socially and establish the new apartment.</t>
  </si>
  <si>
    <t>Normal personal inventory only.</t>
  </si>
  <si>
    <t>Prospect arrives after Lou's apartment call.</t>
  </si>
  <si>
    <t>Choose/receive date outfit.</t>
  </si>
  <si>
    <t>playerResidence=luxury_apartment.</t>
  </si>
  <si>
    <t>Same day / shortly before date</t>
  </si>
  <si>
    <t>Apartment appearing from nowhere.</t>
  </si>
  <si>
    <t>Decide canonical reason for upgrade.</t>
  </si>
  <si>
    <t>Front &amp; Center / Margo Date</t>
  </si>
  <si>
    <t>Front &amp; Center on date night.</t>
  </si>
  <si>
    <t>Leave luxury apartment to meet Margo.</t>
  </si>
  <si>
    <t>Met at Bing, number acquired, date scheduled from cabin, venue introduced at Silver Pines.</t>
  </si>
  <si>
    <t>Actual date payoff + Front &amp; Center family operation.</t>
  </si>
  <si>
    <t>Margo agrees to return home with Prospect.</t>
  </si>
  <si>
    <t>Transition back to luxury apartment with Margo.</t>
  </si>
  <si>
    <t>Luxury apartment</t>
  </si>
  <si>
    <t>Margo references cabin call naturally; family knows her only as established.</t>
  </si>
  <si>
    <t>Visual status upgrade. Establish the new home before Margo ever sleeps there.</t>
  </si>
  <si>
    <t>Do not arm Prospect unless mission plot requires it.</t>
  </si>
  <si>
    <t>After Silver Pines, Prospect receives/enters the upgraded apartment.</t>
  </si>
  <si>
    <t>Date outfit persists.</t>
  </si>
  <si>
    <t>MargoState=active_relationship; FrontAndCenterVisited=True.</t>
  </si>
  <si>
    <t>Optional objective: GET READY FOR YOUR DATE. Shower, change clothes, check phone, leave for Front &amp; Center.</t>
  </si>
  <si>
    <t>Treating this as random mission instead of date.</t>
  </si>
  <si>
    <t>Date night</t>
  </si>
  <si>
    <t>Objectives frame Margo as reason Prospect is there.</t>
  </si>
  <si>
    <t>Date scheduled; heading to date</t>
  </si>
  <si>
    <t>Margo Stayover</t>
  </si>
  <si>
    <t>Luxury apartment with Margo after date.</t>
  </si>
  <si>
    <t>Direct return from Front &amp; Center.</t>
  </si>
  <si>
    <t>Date succeeded.</t>
  </si>
  <si>
    <t>Private relationship beat and contrast.</t>
  </si>
  <si>
    <t>Sleep/fade to morning.</t>
  </si>
  <si>
    <t>Same apartment, next morning.</t>
  </si>
  <si>
    <t>No first-meet dialogue or unnecessary criminal intrusion.</t>
  </si>
  <si>
    <t>No mission weapons needed.</t>
  </si>
  <si>
    <t>Front &amp; Center</t>
  </si>
  <si>
    <t>Date outfit → sleep/morning.</t>
  </si>
  <si>
    <t>Pay off the cabin phone call. The date is the mission framing while the new venue/family-business story unfolds around it.</t>
  </si>
  <si>
    <t>MargoState=stayed_over.</t>
  </si>
  <si>
    <t>Prospect leaves luxury apartment specifically to meet Margo.</t>
  </si>
  <si>
    <t>Breaking payoff with unrelated interruption.</t>
  </si>
  <si>
    <t>Date concludes successfully. Margo leaves Front &amp; Center with the Prospect and goes back to the luxury apartment.</t>
  </si>
  <si>
    <t>Keep calm and short.</t>
  </si>
  <si>
    <t>Active date; leaves with Prospect</t>
  </si>
  <si>
    <t>Luxury Apartment Morning</t>
  </si>
  <si>
    <t>Luxury apartment morning with Margo.</t>
  </si>
  <si>
    <t>Wake after stayover.</t>
  </si>
  <si>
    <t>Margo stayed over; Willy alive; family has not called yet.</t>
  </si>
  <si>
    <t>Margo exit, quiet reset, hard contrast into No Wake.</t>
  </si>
  <si>
    <t>Margo leaves; short pause; phone rings.</t>
  </si>
  <si>
    <t>Travel to dock.</t>
  </si>
  <si>
    <t>Morning.</t>
  </si>
  <si>
    <t>Margo physically leaves before call if contrast is intended.</t>
  </si>
  <si>
    <t>Retrieve/change clothing and sidearm if needed.</t>
  </si>
  <si>
    <t>Morning/casual → mission clothes.</t>
  </si>
  <si>
    <t>MargoState=relationship_established; NoWakeUnlocked=True.</t>
  </si>
  <si>
    <t>Call firing mid-Margo dialogue.</t>
  </si>
  <si>
    <t>Relationship payoff and quiet contrast against the criminal campaign.</t>
  </si>
  <si>
    <t>Trigger after exit completion + short delay.</t>
  </si>
  <si>
    <t>Direct seamless continuation from Front &amp; Center.</t>
  </si>
  <si>
    <t>Fade/sleep into the following morning. No criminal phone call should interrupt the night unless deliberately scripted.</t>
  </si>
  <si>
    <t>No Wake</t>
  </si>
  <si>
    <t>Dock/boat with Lou, Booski, Willy, Irish.</t>
  </si>
  <si>
    <t>No Wake call after Margo leaves.</t>
  </si>
  <si>
    <t>Willy alive but suspected; Prospect trusted enough to attend.</t>
  </si>
  <si>
    <t>Stayed over</t>
  </si>
  <si>
    <t>Rat reveal, Negev story, execution, body bagging.</t>
  </si>
  <si>
    <t>Willy dead and cleanup complete; send Prospect home.</t>
  </si>
  <si>
    <t>Return to luxury apartment.</t>
  </si>
  <si>
    <t>Willy removed from all later scenes; Irish lookout; Lou/Booski trust rises.</t>
  </si>
  <si>
    <t>Boat loadout/body tools clear after mission.</t>
  </si>
  <si>
    <t>Mission attire.</t>
  </si>
  <si>
    <t>WillyState=dead; prospectTrust increases; innerCircleAccess increases.</t>
  </si>
  <si>
    <t>Willy appearing later or trust not reflected.</t>
  </si>
  <si>
    <t>Automated validation: no living Willy after #18 outside flashback.</t>
  </si>
  <si>
    <t>Luxury Apartment Return</t>
  </si>
  <si>
    <t>Brief domestic calm. Margo leaves, then the family drags the Prospect back into business.</t>
  </si>
  <si>
    <t>Luxury apartment after No Wake.</t>
  </si>
  <si>
    <t>Return home.</t>
  </si>
  <si>
    <t>Wake after Margo stayover.</t>
  </si>
  <si>
    <t>Willy dead; Prospect significantly more trusted.</t>
  </si>
  <si>
    <t>Margo leaves. Give player a short quiet window, then No Wake setup call arrives.</t>
  </si>
  <si>
    <t>Breathing room before Silver Case final arc.</t>
  </si>
  <si>
    <t>Morning</t>
  </si>
  <si>
    <t>Lou/Booski calls about sensitive case.</t>
  </si>
  <si>
    <t>Pickup/mission start.</t>
  </si>
  <si>
    <t>Dating / stayover complete</t>
  </si>
  <si>
    <t>Margo persists off-screen without forced appearance.</t>
  </si>
  <si>
    <t>Normal home inventory; case mission may specify sidearm.</t>
  </si>
  <si>
    <t>Normal → mission clothes.</t>
  </si>
  <si>
    <t>SilverCaseMissionUnlocked=True.</t>
  </si>
  <si>
    <t>Jumping directly into war with no decompression.</t>
  </si>
  <si>
    <t>Preserve quiet playable window.</t>
  </si>
  <si>
    <t>Silver Case Setup</t>
  </si>
  <si>
    <t>Luxury apartment or designated pickup.</t>
  </si>
  <si>
    <t>Silver Case call.</t>
  </si>
  <si>
    <t>Trust high enough; mansion not yet fully explored.</t>
  </si>
  <si>
    <t>Dock / large boat</t>
  </si>
  <si>
    <t>Case importance and direct-delivery rules.</t>
  </si>
  <si>
    <t>Prospect takes custody and is ordered to mansion.</t>
  </si>
  <si>
    <t>Willy rat reveal. Prospect joins Lou and Booski in eliminating an informant, a major trust milestone.</t>
  </si>
  <si>
    <t>Travel to mansion.</t>
  </si>
  <si>
    <t>Family call after Margo leaves; Prospect reports to dock.</t>
  </si>
  <si>
    <t>Same day/evening.</t>
  </si>
  <si>
    <t>Willy is executed and body-bagging cleanup finishes. Prospect returns home knowing he has been trusted with a deeply internal matter.</t>
  </si>
  <si>
    <t>If Sasole is involved, use as callback, not confusing ownership.</t>
  </si>
  <si>
    <t>Case must persist physically until Lou handoff.</t>
  </si>
  <si>
    <t>Relationship persists off-mission</t>
  </si>
  <si>
    <t>SilverCaseState=in_transit; MansionUnlocked=True.</t>
  </si>
  <si>
    <t>Case disappearing across transition.</t>
  </si>
  <si>
    <t>Persist via campaign inventory/state, not scene-local prop.</t>
  </si>
  <si>
    <t>Silver Case → Mansion</t>
  </si>
  <si>
    <t>Mansion arrival carrying case.</t>
  </si>
  <si>
    <t>Travel from pickup.</t>
  </si>
  <si>
    <t>Case in inventory; no full mansion explore yet.</t>
  </si>
  <si>
    <t>Lou reaction, Squatchanium reveal, Booski basement instruction.</t>
  </si>
  <si>
    <t>Lou sends player downstairs with case.</t>
  </si>
  <si>
    <t>Continuous into lab.</t>
  </si>
  <si>
    <t>Short decompression after No Wake and bridge into the final main storyline.</t>
  </si>
  <si>
    <t>Same evening.</t>
  </si>
  <si>
    <t>Lou acknowledges growing trust; mansion first-visit dialogue variants.</t>
  </si>
  <si>
    <t>Return from dock.</t>
  </si>
  <si>
    <t>Case visible until handoff.</t>
  </si>
  <si>
    <t>After a quiet period, Lou/Booski contacts Prospect about moving a highly sensitive Silver Case.</t>
  </si>
  <si>
    <t>Mission clothes.</t>
  </si>
  <si>
    <t>SilverCaseState=delivered_to_mansion.</t>
  </si>
  <si>
    <t>Later scenes contradicting first mansion visit.</t>
  </si>
  <si>
    <t>Use mansionVisitCount / first_visit gates.</t>
  </si>
  <si>
    <t>Relationship persists</t>
  </si>
  <si>
    <t>Mansion / Silent Squatch</t>
  </si>
  <si>
    <t>Mansion basement with case/lab.</t>
  </si>
  <si>
    <t>Direct continuation.</t>
  </si>
  <si>
    <t>Case delivered; Aubbie lead scientist; project ready.</t>
  </si>
  <si>
    <t>Lab, cleanup, peaceful mansion geography, overnight justification.</t>
  </si>
  <si>
    <t>Lou tells Prospect to stay; player sleeps in guest room.</t>
  </si>
  <si>
    <t>Guest room becomes Siege spawn.</t>
  </si>
  <si>
    <t>Aubbie consistent; Snow cleanup role; no siege damage before sleep.</t>
  </si>
  <si>
    <t>Case consumed/transferred; lab mission items reset.</t>
  </si>
  <si>
    <t>Luxury apartment / pickup point</t>
  </si>
  <si>
    <t>Evening → sleep state.</t>
  </si>
  <si>
    <t>Start the final-act causal chain. Prospect is trusted with highly sensitive cargo.</t>
  </si>
  <si>
    <t>SilentSquatchComplete=True; MansionState=peaceful_overnight.</t>
  </si>
  <si>
    <t>Call from Lou/Booski after No Wake decompression.</t>
  </si>
  <si>
    <t>Siege begins without spatial familiarity or reason to stay.</t>
  </si>
  <si>
    <t>Prospect takes custody of the Silver Case and is told to deliver it directly to Lou at the mansion.</t>
  </si>
  <si>
    <t>Save checkpoint before sleep and separate siege-start checkpoint.</t>
  </si>
  <si>
    <t>Off-screen relationship state</t>
  </si>
  <si>
    <t>Sasole available for later payoff</t>
  </si>
  <si>
    <t>Tension begins</t>
  </si>
  <si>
    <t>Mansion Siege</t>
  </si>
  <si>
    <t>Mansion guest room asleep.</t>
  </si>
  <si>
    <t>Alarm/gunfire/explosion wake.</t>
  </si>
  <si>
    <t>Mansion peaceful hours ago; player stayed overnight; rivals have motive.</t>
  </si>
  <si>
    <t>Pistol → armory → Lou office → balcony → clear; acquire Enola intel.</t>
  </si>
  <si>
    <t>Attack repelled and intel recovered.</t>
  </si>
  <si>
    <t>Fast handoff to Sasole/airfield or brief command-room bridge.</t>
  </si>
  <si>
    <t>Lou's mansion</t>
  </si>
  <si>
    <t>2–3 AM through dawn.</t>
  </si>
  <si>
    <t>First proper mansion arrival. Reveal Lou's private world and the importance of the case.</t>
  </si>
  <si>
    <t>Dead/injured guards persist; voice lines match actual positions; Margo absent.</t>
  </si>
  <si>
    <t>Prospect arrives carrying Silver Case.</t>
  </si>
  <si>
    <t>Wake with pistol only, then armory supplies.</t>
  </si>
  <si>
    <t>Lou opens/reveals the case glow, calls it 'Squatchanium,' and sends Prospect to deliver it to Booski in the basement.</t>
  </si>
  <si>
    <t>Sleep/emergency → combat.</t>
  </si>
  <si>
    <t>Guest room at mansion tonight</t>
  </si>
  <si>
    <t>MansionState=damaged; RivalWarState=attacked_mansion; EnolaIntelAcquired=True.</t>
  </si>
  <si>
    <t>Off-screen</t>
  </si>
  <si>
    <t>Spatial audio/NPC teleport problems.</t>
  </si>
  <si>
    <t>Known ally</t>
  </si>
  <si>
    <t>State-driven NPC spawn map and spatial-audio validation per phase.</t>
  </si>
  <si>
    <t>Rival interest rising</t>
  </si>
  <si>
    <t>Enola Squatch</t>
  </si>
  <si>
    <t>Airfield with Sasole after siege intel.</t>
  </si>
  <si>
    <t>Immediate counterstrike order.</t>
  </si>
  <si>
    <t>Beef Run complete; tutorial learned; target identified.</t>
  </si>
  <si>
    <t>Serious payoff of Sasole relationship/flight skills.</t>
  </si>
  <si>
    <t>Mansion + basement laboratory</t>
  </si>
  <si>
    <t>Target destroyed; intel narrows palace.</t>
  </si>
  <si>
    <t>Aubbie/scientists finish the project; keypad/glass lab cleanup. Then deliberately teach the player the mansion while it is peaceful.</t>
  </si>
  <si>
    <t>Return/debrief, then time jump.</t>
  </si>
  <si>
    <t>Direct continuation from Silver Case delivery.</t>
  </si>
  <si>
    <t>Same day then later jump.</t>
  </si>
  <si>
    <t>After lab sequence: EXPLORE THE MANSION, dinner/drinks/downtime. Lou tells Prospect it is too late to drive back and assigns a guest room. Fade to sleep.</t>
  </si>
  <si>
    <t>Sasole remembers Beef Run; all Cecil lines gone.</t>
  </si>
  <si>
    <t>Mansion guest room</t>
  </si>
  <si>
    <t>Aircraft systems mission-specific.</t>
  </si>
  <si>
    <t>Flight gear.</t>
  </si>
  <si>
    <t>EnolaComplete=True; RivalWarState=counterattack; PalaceIntelPartial=True.</t>
  </si>
  <si>
    <t>Attack imminent</t>
  </si>
  <si>
    <t>First-flight dialogue or Cecil remnants.</t>
  </si>
  <si>
    <t>Regression scan for 'Cecil' and duplicate flight-control systems.</t>
  </si>
  <si>
    <t>Repaired Mansion</t>
  </si>
  <si>
    <t>Repaired/recovering mansion after time jump.</t>
  </si>
  <si>
    <t>Story time jump following Enola.</t>
  </si>
  <si>
    <t>Mansion attacked; Enola retaliated; palace intel exists.</t>
  </si>
  <si>
    <t>They come to you. Defensive chaos, loyalty under fire, and use of the mansion layout the player learned peacefully.</t>
  </si>
  <si>
    <t>Consequences, repairs, regroup, final intel synthesis.</t>
  </si>
  <si>
    <t>Wake in guest room to distant gunfire, alarm, explosion, burning vehicles and dead guards.</t>
  </si>
  <si>
    <t>Lou authorizes palace operation.</t>
  </si>
  <si>
    <t>Attack is repelled. Capture/recover a phone, radio, documents, vehicle records, or surviving attacker that points to an immediate rival logistics target.</t>
  </si>
  <si>
    <t>Transition to Cartel Palace prep/assault.</t>
  </si>
  <si>
    <t>2–3 AM into dawn</t>
  </si>
  <si>
    <t>Days or weeks later.</t>
  </si>
  <si>
    <t>Mansion temporarily damaged</t>
  </si>
  <si>
    <t>Guard/decor states reflect casualties/repairs; characters reference Siege/Enola.</t>
  </si>
  <si>
    <t>Off-screen concern can be referenced later</t>
  </si>
  <si>
    <t>Pre-assault inventory then mission loadout.</t>
  </si>
  <si>
    <t>Sasole available</t>
  </si>
  <si>
    <t>Recovered/meeting attire.</t>
  </si>
  <si>
    <t>Rival attack confirmed</t>
  </si>
  <si>
    <t>MansionState=repaired_or_repairing; PalaceTargetConfirmed=True.</t>
  </si>
  <si>
    <t>Mansion magically pristine without acknowledgement.</t>
  </si>
  <si>
    <t>Keep some permanent scars or replaced objects.</t>
  </si>
  <si>
    <t>Cartel Palace</t>
  </si>
  <si>
    <t>Airfield / bomber / rival target</t>
  </si>
  <si>
    <t>Crew assembled for rival palace assault.</t>
  </si>
  <si>
    <t>Immediate counterstrike. Beef Run flight training and Sasole relationship pay off under real stakes.</t>
  </si>
  <si>
    <t>Lou authorizes retaliation.</t>
  </si>
  <si>
    <t>Intel from Mansion Siege identifies a rival staging site / weapons depot / convoy. Sasole calls: 'Kid, you remember how to fly?'</t>
  </si>
  <si>
    <t>Siege + Enola identify target; Prospect trusted operator.</t>
  </si>
  <si>
    <t>Enola mission destroys target and recovers/observes information that narrows the rival leadership location and supports the later palace assault.</t>
  </si>
  <si>
    <t>Offensive mirror, evidence, decisive close of war.</t>
  </si>
  <si>
    <t>Same day / immediate response</t>
  </si>
  <si>
    <t>Rival operation neutralized; Prospect returns home unaware initiation approved.</t>
  </si>
  <si>
    <t>Temporary return arrangement</t>
  </si>
  <si>
    <t>Same night / after mission.</t>
  </si>
  <si>
    <t>Major Sasole payoff</t>
  </si>
  <si>
    <t>Counterattack underway</t>
  </si>
  <si>
    <t>Crew reflects Siege survivors; rivals know why attack is happening.</t>
  </si>
  <si>
    <t>Assault loadout clears/stores after mission.</t>
  </si>
  <si>
    <t>Combat gear → home clothes.</t>
  </si>
  <si>
    <t>RivalWarState=won; ProspectStatus=initiation_candidate.</t>
  </si>
  <si>
    <t>War still feeling unresolved before initiation.</t>
  </si>
  <si>
    <t>Explicit mission-complete condition closes rivalry.</t>
  </si>
  <si>
    <t>Show time passing, physical consequences, and regrouping. Convert Enola information into a plan.</t>
  </si>
  <si>
    <t>Luxury Apartment: Special Meeting</t>
  </si>
  <si>
    <t>Return after a deliberate time jump while repairs are underway or substantially complete.</t>
  </si>
  <si>
    <t>Luxury apartment after Cartel Palace.</t>
  </si>
  <si>
    <t>Family debrief confirms the rival palace/leadership target and authorizes retaliation. Prospect is clearly treated as an inner-circle operator.</t>
  </si>
  <si>
    <t>Return + decompression, then Booski call.</t>
  </si>
  <si>
    <t>Days / weeks later</t>
  </si>
  <si>
    <t>War closed; Lou approved initiation; Prospect does not know.</t>
  </si>
  <si>
    <t>Special meeting suspense and pickup details.</t>
  </si>
  <si>
    <t>Booski says Seff, Lag, Numbskull are coming; refuses details.</t>
  </si>
  <si>
    <t>Trusted ally</t>
  </si>
  <si>
    <t>Player exits to street pickup.</t>
  </si>
  <si>
    <t>War plan locked</t>
  </si>
  <si>
    <t>Later/next evening.</t>
  </si>
  <si>
    <t>No one says initiation or congratulates early.</t>
  </si>
  <si>
    <t>No visible assault-rifle arsenal during surprise pickup unless stored.</t>
  </si>
  <si>
    <t>Normal home clothes; suit logic TBD.</t>
  </si>
  <si>
    <t>SpecialMeetingState=pickup_en_route.</t>
  </si>
  <si>
    <t>Dialogue spoiling ceremony.</t>
  </si>
  <si>
    <t>Content lint for premature initiation reveal.</t>
  </si>
  <si>
    <t>Rival palace / estate</t>
  </si>
  <si>
    <t>You go to them. Offensive mirror of Mansion Siege; decisive retaliation and evidence collection.</t>
  </si>
  <si>
    <t>Crew launches planned assault based on Siege + Enola intelligence.</t>
  </si>
  <si>
    <t>Pickup / Ride</t>
  </si>
  <si>
    <t>Street outside luxury apartment.</t>
  </si>
  <si>
    <t>Rival operation is dismantled; evidence/leadership outcome closes the war. Lou has enough proof of the Prospect's loyalty to approve initiation.</t>
  </si>
  <si>
    <t>Objective to go outside and wait.</t>
  </si>
  <si>
    <t>Seff/Lag/Numbskull know truth; Prospect doesn't; Kittenboss in trunk.</t>
  </si>
  <si>
    <t>Threatening-but-retroactively-innocent behavior.</t>
  </si>
  <si>
    <t>Arrive at woods/cabin; trunk reveal and/or tension release.</t>
  </si>
  <si>
    <t>Vehicle arrival at initiation site.</t>
  </si>
  <si>
    <t>Rival war effectively won</t>
  </si>
  <si>
    <t>Behavior makes sense on replay; Kittenboss not spawned elsewhere.</t>
  </si>
  <si>
    <t>Plausible sidearms only unless ceremony requires otherwise.</t>
  </si>
  <si>
    <t>Suits or travel-to-ceremony clothing.</t>
  </si>
  <si>
    <t>ProspectAtInitiationSite=True.</t>
  </si>
  <si>
    <t>Tension too obvious/fake or trunk continuity break.</t>
  </si>
  <si>
    <t>Script each suspicious beat for first-play + replay interpretation.</t>
  </si>
  <si>
    <t>Arrival at old-country cabin.</t>
  </si>
  <si>
    <t>Crew escorts Prospect into ceremony.</t>
  </si>
  <si>
    <t>Candidate status earned through prior deeds.</t>
  </si>
  <si>
    <t>Turn the initiation into a suspense sequence. Prospect thinks another job or a possible whacking is coming.</t>
  </si>
  <si>
    <t>Made-man ceremony, family payoff, cabin bookend.</t>
  </si>
  <si>
    <t>Ceremony completes; status changes.</t>
  </si>
  <si>
    <t>Return home after Cartel Palace and a small amount of decompression.</t>
  </si>
  <si>
    <t>Post-initiation free-roam/epilogue/credits TBD.</t>
  </si>
  <si>
    <t>Booski calls: special meeting. Seff, Lag, and Numbskull are coming to pick you up. He refuses to explain.</t>
  </si>
  <si>
    <t>Later / next evening</t>
  </si>
  <si>
    <t>Not relevant</t>
  </si>
  <si>
    <t>Participants respect survival/state flags; dialogue references completed deeds.</t>
  </si>
  <si>
    <t>War closed</t>
  </si>
  <si>
    <t>Ceremonial revolver logic only; unique SFX.</t>
  </si>
  <si>
    <t>Suit attire; first-person camera.</t>
  </si>
  <si>
    <t>ProspectStatus=made; InitiationComplete=True.</t>
  </si>
  <si>
    <t>Dead NPCs attending or dialogue referencing incomplete missions.</t>
  </si>
  <si>
    <t>Build ceremony dialogue from campaign flags with mandatory core deeds.</t>
  </si>
  <si>
    <t>Apartment street + vehicle</t>
  </si>
  <si>
    <t>Weaponize ambiguity. Everyone already knows the Prospect is being made except the Prospect. Kittenboss is secretly in the trunk.</t>
  </si>
  <si>
    <t>Player exits apartment to wait on the street. Vehicle arrives with Seff, Lag, Numbskull.</t>
  </si>
  <si>
    <t>Forced seating / tense ride. Trunk noises and weird behavior imply danger. Arrival at remote woods/cabin reveals this is not an execution.</t>
  </si>
  <si>
    <t>In transit</t>
  </si>
  <si>
    <t>Old-country cabin in the woods</t>
  </si>
  <si>
    <t>Full made-man payoff. The original hiding-cabin idea is mirrored by a voluntary return to the woods surrounded by the family.</t>
  </si>
  <si>
    <t>Vehicle arrives. Kittenboss trunk reveal can happen on arrival. Prospect is led into the ceremony.</t>
  </si>
  <si>
    <t>Initiation completes. Prospect status changes from trusted Prospect / candidate to made member. Major campaign arc ends.</t>
  </si>
  <si>
    <t>Post-campaign state TBD</t>
  </si>
  <si>
    <t>Relationship remains established</t>
  </si>
  <si>
    <t>Established ally</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</si>
</sst>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rlito"/>
      <scheme val="minor"/>
    </font>
    <font>
      <b/>
      <sz val="11.0"/>
      <color rgb="FFFFFFFF"/>
      <name val="Carlito"/>
    </font>
    <font>
      <sz val="11.0"/>
      <color theme="1"/>
      <name val="Carlito"/>
    </font>
    <font>
      <b/>
      <sz val="11.0"/>
      <color theme="1"/>
      <name val="Carlito"/>
    </font>
    <font>
      <b/>
      <sz val="18.0"/>
      <color rgb="FFFFFFFF"/>
      <name val="Carlito"/>
    </font>
    <font/>
    <font>
      <i/>
      <sz val="11.0"/>
      <color rgb="FFD8DEE4"/>
      <name val="Carlito"/>
    </font>
    <font>
      <color theme="1"/>
      <name val="Carlito"/>
      <scheme val="minor"/>
    </font>
    <font>
      <b/>
      <sz val="11.0"/>
      <color rgb="FF1C1C1C"/>
      <name val="Carlito"/>
    </font>
  </fonts>
  <fills count="11">
    <fill>
      <patternFill patternType="none"/>
    </fill>
    <fill>
      <patternFill patternType="lightGray"/>
    </fill>
    <fill>
      <patternFill patternType="solid">
        <fgColor rgb="FF17212B"/>
        <bgColor rgb="FF17212B"/>
      </patternFill>
    </fill>
    <fill>
      <patternFill patternType="solid">
        <fgColor rgb="FFEAF2F8"/>
        <bgColor rgb="FFEAF2F8"/>
      </patternFill>
    </fill>
    <fill>
      <patternFill patternType="solid">
        <fgColor rgb="FF22303C"/>
        <bgColor rgb="FF22303C"/>
      </patternFill>
    </fill>
    <fill>
      <patternFill patternType="solid">
        <fgColor rgb="FFC6A15B"/>
        <bgColor rgb="FFC6A15B"/>
      </patternFill>
    </fill>
    <fill>
      <patternFill patternType="solid">
        <fgColor rgb="FFF7EDE2"/>
        <bgColor rgb="FFF7EDE2"/>
      </patternFill>
    </fill>
    <fill>
      <patternFill patternType="solid">
        <fgColor rgb="FFEEF4EA"/>
        <bgColor rgb="FFEEF4EA"/>
      </patternFill>
    </fill>
    <fill>
      <patternFill patternType="solid">
        <fgColor rgb="FFEEEAF7"/>
        <bgColor rgb="FFEEEAF7"/>
      </patternFill>
    </fill>
    <fill>
      <patternFill patternType="solid">
        <fgColor rgb="FFF9E2E2"/>
        <bgColor rgb="FFF9E2E2"/>
      </patternFill>
    </fill>
    <fill>
      <patternFill patternType="solid">
        <fgColor rgb="FFF5F0D9"/>
        <bgColor rgb="FFF5F0D9"/>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shrinkToFit="0" vertical="top" wrapText="1"/>
    </xf>
    <xf borderId="1" fillId="3" fontId="3" numFmtId="0" xfId="0" applyAlignment="1" applyBorder="1" applyFill="1" applyFont="1">
      <alignment shrinkToFit="0" vertical="top" wrapText="1"/>
    </xf>
    <xf borderId="1" fillId="3" fontId="2" numFmtId="0" xfId="0" applyAlignment="1" applyBorder="1" applyFill="1" applyFont="1">
      <alignment shrinkToFit="0" vertical="top" wrapText="1"/>
    </xf>
    <xf borderId="2" fillId="2" fontId="4" numFmtId="0" xfId="0" applyAlignment="1" applyBorder="1" applyFill="1" applyFont="1">
      <alignment horizontal="center" vertical="center"/>
    </xf>
    <xf borderId="3" fillId="0" fontId="5" numFmtId="0" xfId="0" applyBorder="1" applyFont="1"/>
    <xf borderId="4" fillId="0" fontId="5" numFmtId="0" xfId="0" applyBorder="1" applyFont="1"/>
    <xf borderId="2" fillId="4" fontId="6" numFmtId="0" xfId="0" applyAlignment="1" applyBorder="1" applyFill="1" applyFont="1">
      <alignment horizontal="center"/>
    </xf>
    <xf borderId="1" fillId="2" fontId="1" numFmtId="0" xfId="0" applyAlignment="1" applyBorder="1" applyFill="1" applyFont="1">
      <alignment horizontal="center" shrinkToFit="0" vertical="center" wrapText="1"/>
    </xf>
    <xf borderId="0" fillId="0" fontId="7" numFmtId="0" xfId="0" applyFont="1"/>
    <xf borderId="1" fillId="3" fontId="2" numFmtId="0" xfId="0" applyAlignment="1" applyBorder="1" applyFill="1" applyFont="1">
      <alignment readingOrder="0" shrinkToFit="0" vertical="top" wrapText="1"/>
    </xf>
    <xf borderId="2" fillId="5" fontId="8" numFmtId="0" xfId="0" applyAlignment="1" applyBorder="1" applyFill="1" applyFont="1">
      <alignment horizontal="center"/>
    </xf>
    <xf borderId="0" fillId="0" fontId="2" numFmtId="0" xfId="0" applyAlignment="1" applyFont="1">
      <alignment shrinkToFit="0" wrapText="1"/>
    </xf>
    <xf borderId="0" fillId="0" fontId="2" numFmtId="0" xfId="0" applyAlignment="1" applyFont="1">
      <alignment readingOrder="0" shrinkToFit="0" vertical="top" wrapText="1"/>
    </xf>
    <xf borderId="1" fillId="6" fontId="3" numFmtId="0" xfId="0" applyAlignment="1" applyBorder="1" applyFill="1" applyFont="1">
      <alignment shrinkToFit="0" vertical="top" wrapText="1"/>
    </xf>
    <xf borderId="1" fillId="6" fontId="2" numFmtId="0" xfId="0" applyAlignment="1" applyBorder="1" applyFill="1" applyFont="1">
      <alignment shrinkToFit="0" vertical="top" wrapText="1"/>
    </xf>
    <xf borderId="1" fillId="7" fontId="3" numFmtId="0" xfId="0" applyAlignment="1" applyBorder="1" applyFill="1" applyFont="1">
      <alignment shrinkToFit="0" vertical="top" wrapText="1"/>
    </xf>
    <xf borderId="1" fillId="7" fontId="2" numFmtId="0" xfId="0" applyAlignment="1" applyBorder="1" applyFill="1" applyFont="1">
      <alignment shrinkToFit="0" vertical="top" wrapText="1"/>
    </xf>
    <xf borderId="1" fillId="7" fontId="2" numFmtId="0" xfId="0" applyAlignment="1" applyBorder="1" applyFill="1" applyFont="1">
      <alignment readingOrder="0" shrinkToFit="0" vertical="top" wrapText="1"/>
    </xf>
    <xf borderId="1" fillId="8" fontId="3" numFmtId="0" xfId="0" applyAlignment="1" applyBorder="1" applyFill="1" applyFont="1">
      <alignment shrinkToFit="0" vertical="top" wrapText="1"/>
    </xf>
    <xf borderId="1" fillId="8" fontId="2" numFmtId="0" xfId="0" applyAlignment="1" applyBorder="1" applyFill="1" applyFont="1">
      <alignment shrinkToFit="0" vertical="top" wrapText="1"/>
    </xf>
    <xf borderId="1" fillId="9" fontId="3" numFmtId="0" xfId="0" applyAlignment="1" applyBorder="1" applyFill="1" applyFont="1">
      <alignment shrinkToFit="0" vertical="top" wrapText="1"/>
    </xf>
    <xf borderId="1" fillId="9" fontId="2" numFmtId="0" xfId="0" applyAlignment="1" applyBorder="1" applyFill="1" applyFont="1">
      <alignment shrinkToFit="0" vertical="top" wrapText="1"/>
    </xf>
    <xf borderId="1" fillId="10" fontId="3" numFmtId="0" xfId="0" applyAlignment="1" applyBorder="1" applyFill="1" applyFont="1">
      <alignment shrinkToFit="0" vertical="top" wrapText="1"/>
    </xf>
    <xf borderId="1" fillId="10" fontId="2" numFmtId="0" xfId="0" applyAlignment="1" applyBorder="1" applyFill="1" applyFont="1">
      <alignment shrinkToFit="0" vertical="top" wrapText="1"/>
    </xf>
  </cellXfs>
  <cellStyles count="1">
    <cellStyle xfId="0" name="Normal" builtinId="0"/>
  </cellStyles>
  <dxfs count="10">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font>
      <fill>
        <patternFill patternType="solid">
          <fgColor rgb="FFF6D6D6"/>
          <bgColor rgb="FFF6D6D6"/>
        </patternFill>
      </fill>
      <border/>
    </dxf>
    <dxf>
      <font/>
      <fill>
        <patternFill patternType="solid">
          <fgColor rgb="FFFFF0C2"/>
          <bgColor rgb="FFFFF0C2"/>
        </patternFill>
      </fill>
      <border/>
    </dxf>
    <dxf>
      <font/>
      <fill>
        <patternFill patternType="solid">
          <fgColor rgb="FFDDEAF7"/>
          <bgColor rgb="FFDDEAF7"/>
        </patternFill>
      </fill>
      <border/>
    </dxf>
    <dxf>
      <font>
        <b/>
      </font>
      <fill>
        <patternFill patternType="solid">
          <fgColor rgb="FFFFF0C2"/>
          <bgColor rgb="FFFFF0C2"/>
        </patternFill>
      </fill>
      <border/>
    </dxf>
    <dxf>
      <font/>
      <fill>
        <patternFill patternType="solid">
          <fgColor rgb="FFDDEFE2"/>
          <bgColor rgb="FFDDEFE2"/>
        </patternFill>
      </fill>
      <border/>
    </dxf>
  </dxfs>
  <tableStyles count="4">
    <tableStyle count="4" pivot="0" name="Campaign Map-style">
      <tableStyleElement dxfId="1" type="headerRow"/>
      <tableStyleElement dxfId="2" type="firstRowStripe"/>
      <tableStyleElement dxfId="3" type="secondRowStripe"/>
      <tableStyleElement dxfId="4" size="0" type="wholeTable"/>
    </tableStyle>
    <tableStyle count="4" pivot="0" name="Continuity Threads-style">
      <tableStyleElement dxfId="1" type="headerRow"/>
      <tableStyleElement dxfId="2" type="firstRowStripe"/>
      <tableStyleElement dxfId="3" type="secondRowStripe"/>
      <tableStyleElement dxfId="4" size="0" type="wholeTable"/>
    </tableStyle>
    <tableStyle count="4" pivot="0" name="Transition Bible-style">
      <tableStyleElement dxfId="1" type="headerRow"/>
      <tableStyleElement dxfId="2" type="firstRowStripe"/>
      <tableStyleElement dxfId="3" type="secondRowStripe"/>
      <tableStyleElement dxfId="4" size="0" type="wholeTable"/>
    </tableStyle>
    <tableStyle count="4" pivot="0" name="Open Quest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Main Scenes by Chapter</a:t>
            </a:r>
          </a:p>
        </c:rich>
      </c:tx>
      <c:overlay val="0"/>
    </c:title>
    <c:plotArea>
      <c:layout/>
      <c:barChart>
        <c:barDir val="col"/>
        <c:ser>
          <c:idx val="0"/>
          <c:order val="0"/>
          <c:tx>
            <c:v>Scenes</c:v>
          </c:tx>
          <c:spPr>
            <a:solidFill>
              <a:schemeClr val="accent1"/>
            </a:solidFill>
            <a:ln cmpd="sng">
              <a:noFill/>
            </a:ln>
          </c:spPr>
          <c:cat>
            <c:strRef>
              <c:f>Overview!$A$5:$A$10</c:f>
            </c:strRef>
          </c:cat>
          <c:val>
            <c:numRef>
              <c:f>Overview!$B$5:$B$10</c:f>
              <c:numCache/>
            </c:numRef>
          </c:val>
        </c:ser>
        <c:ser>
          <c:idx val="1"/>
          <c:order val="1"/>
          <c:cat>
            <c:strRef>
              <c:f>Overview!$A$5:$A$10</c:f>
            </c:strRef>
          </c:cat>
          <c:val>
            <c:numRef>
              <c:f>Overview!$C$5:$C$10</c:f>
              <c:numCache/>
            </c:numRef>
          </c:val>
        </c:ser>
        <c:ser>
          <c:idx val="2"/>
          <c:order val="2"/>
          <c:cat>
            <c:strRef>
              <c:f>Overview!$A$5:$A$10</c:f>
            </c:strRef>
          </c:cat>
          <c:val>
            <c:numRef>
              <c:f>Overview!$D$5:$D$10</c:f>
              <c:numCache/>
            </c:numRef>
          </c:val>
        </c:ser>
        <c:axId val="941222932"/>
        <c:axId val="1826322795"/>
      </c:barChart>
      <c:catAx>
        <c:axId val="9412229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26322795"/>
      </c:catAx>
      <c:valAx>
        <c:axId val="18263227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41222932"/>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10</xdr:row>
      <xdr:rowOff>0</xdr:rowOff>
    </xdr:from>
    <xdr:ext cx="8686800" cy="2000250"/>
    <xdr:graphicFrame>
      <xdr:nvGraphicFramePr>
        <xdr:cNvPr id="451914673"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31" displayName="CampaignMapTable" name="CampaignMapTable" id="1">
  <tableColumns count="15">
    <tableColumn name="Scene #" id="1"/>
    <tableColumn name="Chapter" id="2"/>
    <tableColumn name="Scene" id="3"/>
    <tableColumn name="Primary Location" id="4"/>
    <tableColumn name="Core Purpose" id="5"/>
    <tableColumn name="Entry Trigger" id="6"/>
    <tableColumn name="Exit / Next Transition" id="7"/>
    <tableColumn name="Time Gap" id="8"/>
    <tableColumn name="Residence / Spawn State" id="9"/>
    <tableColumn name="Margo Thread" id="10"/>
    <tableColumn name="Sasole Thread" id="11"/>
    <tableColumn name="Rival War Thread" id="12"/>
    <tableColumn name="Build Status" id="13"/>
    <tableColumn name="Continuity Status" id="14"/>
    <tableColumn name="Your Notes" id="15"/>
  </tableColumns>
  <tableStyleInfo name="Campaign Map-style" showColumnStripes="0" showFirstColumn="1" showLastColumn="1" showRowStripes="1"/>
</table>
</file>

<file path=xl/tables/table2.xml><?xml version="1.0" encoding="utf-8"?>
<table xmlns="http://schemas.openxmlformats.org/spreadsheetml/2006/main" ref="A1:P31" displayName="TransitionBibleTable" name="TransitionBibleTable" id="3">
  <tableColumns count="16">
    <tableColumn name="Scene #" id="1"/>
    <tableColumn name="Scene" id="2"/>
    <tableColumn name="Start State / Spawn" id="3"/>
    <tableColumn name="What Starts the Scene" id="4"/>
    <tableColumn name="Required Prior Facts" id="5"/>
    <tableColumn name="Scene Must Establish" id="6"/>
    <tableColumn name="Exact End Beat" id="7"/>
    <tableColumn name="Next Spawn / Travel Logic" id="8"/>
    <tableColumn name="Approx. In-World Time" id="9"/>
    <tableColumn name="NPC Continuity Checks" id="10"/>
    <tableColumn name="Weapons / Inventory Continuity" id="11"/>
    <tableColumn name="Wardrobe / Player Presentation" id="12"/>
    <tableColumn name="Persistent World Changes" id="13"/>
    <tableColumn name="Primary Continuity Risk" id="14"/>
    <tableColumn name="Implementation / QA Notes" id="15"/>
    <tableColumn name="Your Notes" id="16"/>
  </tableColumns>
  <tableStyleInfo name="Transition Bible-style" showColumnStripes="0" showFirstColumn="1" showLastColumn="1" showRowStripes="1"/>
</table>
</file>

<file path=xl/tables/table3.xml><?xml version="1.0" encoding="utf-8"?>
<table xmlns="http://schemas.openxmlformats.org/spreadsheetml/2006/main" ref="A1:H12" displayName="ContinuityThreadsTable" name="ContinuityThreadsTable" id="2">
  <tableColumns count="8">
    <tableColumn name="Thread" id="1"/>
    <tableColumn name="Introduced" id="2"/>
    <tableColumn name="Progression" id="3"/>
    <tableColumn name="Payoff" id="4"/>
    <tableColumn name="Must NOT Happen Before" id="5"/>
    <tableColumn name="Continuity Rule" id="6"/>
    <tableColumn name="Open Decision / Note" id="7"/>
    <tableColumn name="Your Notes" id="8"/>
  </tableColumns>
  <tableStyleInfo name="Continuity Threads-style" showColumnStripes="0" showFirstColumn="1" showLastColumn="1" showRowStripes="1"/>
</table>
</file>

<file path=xl/tables/table4.xml><?xml version="1.0" encoding="utf-8"?>
<table xmlns="http://schemas.openxmlformats.org/spreadsheetml/2006/main" ref="A1:G13" displayName="OpenQuestionsTable" name="OpenQuestionsTable" id="4">
  <tableColumns count="7">
    <tableColumn name="Priority" id="1"/>
    <tableColumn name="Decision" id="2"/>
    <tableColumn name="Recommended Answer" id="3"/>
    <tableColumn name="Why It Matters" id="4"/>
    <tableColumn name="Affected Scenes" id="5"/>
    <tableColumn name="Status" id="6"/>
    <tableColumn name="Your Decision / Notes" id="7"/>
  </tableColumns>
  <tableStyleInfo name="Open Ques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8.0"/>
    <col customWidth="1" min="3" max="3" width="56.0"/>
    <col customWidth="1" min="4" max="4" width="28.0"/>
    <col customWidth="1" min="5" max="5" width="8.63"/>
    <col customWidth="1" min="6" max="6" width="31.0"/>
    <col customWidth="1" min="7" max="7" width="52.0"/>
    <col customWidth="1" min="8" max="8" width="31.0"/>
    <col customWidth="1" min="9" max="26" width="8.63"/>
  </cols>
  <sheetData>
    <row r="1" ht="30.0" customHeight="1">
      <c r="A1" s="5" t="s">
        <v>102</v>
      </c>
      <c r="B1" s="6"/>
      <c r="C1" s="6"/>
      <c r="D1" s="6"/>
      <c r="E1" s="6"/>
      <c r="F1" s="6"/>
      <c r="G1" s="6"/>
      <c r="H1" s="7"/>
    </row>
    <row r="2">
      <c r="A2" s="8" t="s">
        <v>108</v>
      </c>
      <c r="B2" s="6"/>
      <c r="C2" s="6"/>
      <c r="D2" s="6"/>
      <c r="E2" s="6"/>
      <c r="F2" s="6"/>
      <c r="G2" s="6"/>
      <c r="H2" s="7"/>
    </row>
    <row r="4">
      <c r="A4" s="9" t="s">
        <v>4</v>
      </c>
      <c r="B4" s="9" t="s">
        <v>113</v>
      </c>
      <c r="C4" s="9" t="s">
        <v>116</v>
      </c>
      <c r="D4" s="9" t="s">
        <v>117</v>
      </c>
      <c r="F4" s="9" t="s">
        <v>118</v>
      </c>
      <c r="G4" s="9" t="s">
        <v>120</v>
      </c>
      <c r="H4" s="9" t="s">
        <v>121</v>
      </c>
    </row>
    <row r="5">
      <c r="A5" s="10" t="s">
        <v>56</v>
      </c>
      <c r="B5" s="10" t="s">
        <v>124</v>
      </c>
      <c r="C5" s="10" t="s">
        <v>125</v>
      </c>
      <c r="D5" s="10">
        <f>COUNTIF('Campaign Map'!$B$2:$B$31,A5)</f>
        <v>8</v>
      </c>
      <c r="F5" s="10" t="s">
        <v>138</v>
      </c>
      <c r="G5" s="10" t="s">
        <v>139</v>
      </c>
      <c r="H5" s="10" t="s">
        <v>140</v>
      </c>
    </row>
    <row r="6">
      <c r="A6" s="10" t="s">
        <v>141</v>
      </c>
      <c r="B6" s="10" t="s">
        <v>142</v>
      </c>
      <c r="C6" s="10" t="s">
        <v>143</v>
      </c>
      <c r="D6" s="10">
        <f>COUNTIF('Campaign Map'!$B$2:$B$31,A6)</f>
        <v>4</v>
      </c>
      <c r="F6" s="10" t="s">
        <v>149</v>
      </c>
      <c r="G6" s="10" t="s">
        <v>150</v>
      </c>
      <c r="H6" s="10" t="s">
        <v>151</v>
      </c>
    </row>
    <row r="7">
      <c r="A7" s="10" t="s">
        <v>152</v>
      </c>
      <c r="B7" s="10" t="s">
        <v>153</v>
      </c>
      <c r="C7" s="10" t="s">
        <v>154</v>
      </c>
      <c r="D7" s="10">
        <f>COUNTIF('Campaign Map'!$B$2:$B$31,A7)</f>
        <v>8</v>
      </c>
      <c r="F7" s="10" t="s">
        <v>156</v>
      </c>
      <c r="G7" s="10" t="s">
        <v>157</v>
      </c>
      <c r="H7" s="10" t="s">
        <v>158</v>
      </c>
    </row>
    <row r="8">
      <c r="A8" s="10" t="s">
        <v>160</v>
      </c>
      <c r="B8" s="10" t="s">
        <v>161</v>
      </c>
      <c r="C8" s="10" t="s">
        <v>162</v>
      </c>
      <c r="D8" s="10">
        <f>COUNTIF('Campaign Map'!$B$2:$B$31,A8)</f>
        <v>3</v>
      </c>
      <c r="F8" s="10" t="s">
        <v>163</v>
      </c>
      <c r="G8" s="10" t="s">
        <v>164</v>
      </c>
      <c r="H8" s="10" t="s">
        <v>165</v>
      </c>
    </row>
    <row r="9">
      <c r="A9" s="10" t="s">
        <v>166</v>
      </c>
      <c r="B9" s="10" t="s">
        <v>167</v>
      </c>
      <c r="C9" s="10" t="s">
        <v>168</v>
      </c>
      <c r="D9" s="10">
        <f>COUNTIF('Campaign Map'!$B$2:$B$31,A9)</f>
        <v>4</v>
      </c>
      <c r="F9" s="10" t="s">
        <v>170</v>
      </c>
      <c r="G9" s="10" t="s">
        <v>171</v>
      </c>
      <c r="H9" s="10" t="s">
        <v>172</v>
      </c>
    </row>
    <row r="10">
      <c r="A10" s="10" t="s">
        <v>174</v>
      </c>
      <c r="B10" s="10" t="s">
        <v>175</v>
      </c>
      <c r="C10" s="10" t="s">
        <v>177</v>
      </c>
      <c r="D10" s="10">
        <f>COUNTIF('Campaign Map'!$B$2:$B$31,A10)</f>
        <v>3</v>
      </c>
    </row>
    <row r="13">
      <c r="A13" s="9" t="s">
        <v>180</v>
      </c>
      <c r="B13" s="9" t="s">
        <v>182</v>
      </c>
      <c r="C13" s="9" t="s">
        <v>184</v>
      </c>
      <c r="D13" s="9" t="s">
        <v>186</v>
      </c>
    </row>
    <row r="14">
      <c r="A14" s="10" t="s">
        <v>187</v>
      </c>
      <c r="B14" s="10">
        <f>COUNTA('Campaign Map'!$A$2:$A$31)</f>
        <v>30</v>
      </c>
      <c r="C14" s="10" t="s">
        <v>193</v>
      </c>
    </row>
    <row r="15">
      <c r="A15" s="10" t="s">
        <v>195</v>
      </c>
      <c r="B15" s="10">
        <f>COUNTIF('Open Questions'!$F$2:$F$50,"Needs Decision")</f>
        <v>1</v>
      </c>
      <c r="C15" s="10" t="s">
        <v>199</v>
      </c>
    </row>
    <row r="16">
      <c r="A16" s="10" t="s">
        <v>200</v>
      </c>
      <c r="B16" s="10">
        <f>COUNTIF('Campaign Map'!$N$2:$N$31,"Needs Decision")</f>
        <v>5</v>
      </c>
      <c r="C16" s="10" t="s">
        <v>204</v>
      </c>
    </row>
    <row r="17">
      <c r="A17" s="10" t="s">
        <v>206</v>
      </c>
      <c r="B17" s="10">
        <v>11.0</v>
      </c>
      <c r="C17" s="10" t="s">
        <v>208</v>
      </c>
    </row>
    <row r="18">
      <c r="A18" s="10" t="s">
        <v>210</v>
      </c>
      <c r="B18" s="10" t="s">
        <v>211</v>
      </c>
      <c r="C18" s="10" t="s">
        <v>212</v>
      </c>
    </row>
    <row r="21" ht="15.75" customHeight="1">
      <c r="A21" s="12" t="s">
        <v>214</v>
      </c>
      <c r="B21" s="6"/>
      <c r="C21" s="6"/>
      <c r="D21" s="6"/>
      <c r="E21" s="6"/>
      <c r="F21" s="6"/>
      <c r="G21" s="6"/>
      <c r="H21" s="7"/>
    </row>
    <row r="22" ht="15.75" customHeight="1">
      <c r="A22" s="13" t="s">
        <v>220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H1"/>
    <mergeCell ref="A2:H2"/>
    <mergeCell ref="A21:H21"/>
    <mergeCell ref="A22:H2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23.0"/>
    <col customWidth="1" min="3" max="3" width="28.0"/>
    <col customWidth="1" min="4" max="4" width="25.0"/>
    <col customWidth="1" min="5" max="6" width="42.0"/>
    <col customWidth="1" min="7" max="7" width="48.0"/>
    <col customWidth="1" min="8" max="8" width="18.0"/>
    <col customWidth="1" min="9" max="9" width="24.0"/>
    <col customWidth="1" min="10" max="10" width="26.0"/>
    <col customWidth="1" min="11" max="11" width="25.0"/>
    <col customWidth="1" min="12" max="12" width="24.0"/>
    <col customWidth="1" min="13" max="13" width="14.0"/>
    <col customWidth="1" min="14" max="14" width="17.0"/>
    <col customWidth="1" min="15" max="15" width="36.0"/>
    <col customWidth="1" min="16" max="26" width="8.63"/>
  </cols>
  <sheetData>
    <row r="1" ht="31.5" customHeight="1">
      <c r="A1" s="1" t="s">
        <v>0</v>
      </c>
      <c r="B1" s="1" t="s">
        <v>4</v>
      </c>
      <c r="C1" s="1" t="s">
        <v>2</v>
      </c>
      <c r="D1" s="1" t="s">
        <v>9</v>
      </c>
      <c r="E1" s="1" t="s">
        <v>13</v>
      </c>
      <c r="F1" s="1" t="s">
        <v>16</v>
      </c>
      <c r="G1" s="1" t="s">
        <v>19</v>
      </c>
      <c r="H1" s="1" t="s">
        <v>22</v>
      </c>
      <c r="I1" s="1" t="s">
        <v>26</v>
      </c>
      <c r="J1" s="1" t="s">
        <v>29</v>
      </c>
      <c r="K1" s="1" t="s">
        <v>33</v>
      </c>
      <c r="L1" s="1" t="s">
        <v>36</v>
      </c>
      <c r="M1" s="1" t="s">
        <v>39</v>
      </c>
      <c r="N1" s="1" t="s">
        <v>41</v>
      </c>
      <c r="O1" s="1" t="s">
        <v>21</v>
      </c>
    </row>
    <row r="2" ht="69.75" customHeight="1">
      <c r="A2" s="3">
        <v>0.0</v>
      </c>
      <c r="B2" s="3" t="s">
        <v>56</v>
      </c>
      <c r="C2" s="3" t="s">
        <v>42</v>
      </c>
      <c r="D2" s="4" t="s">
        <v>63</v>
      </c>
      <c r="E2" s="4" t="s">
        <v>68</v>
      </c>
      <c r="F2" s="4" t="s">
        <v>70</v>
      </c>
      <c r="G2" s="4" t="s">
        <v>74</v>
      </c>
      <c r="H2" s="4" t="s">
        <v>77</v>
      </c>
      <c r="I2" s="4" t="s">
        <v>81</v>
      </c>
      <c r="J2" s="4" t="s">
        <v>85</v>
      </c>
      <c r="K2" s="4" t="s">
        <v>85</v>
      </c>
      <c r="L2" s="4" t="s">
        <v>94</v>
      </c>
      <c r="M2" s="4" t="s">
        <v>100</v>
      </c>
      <c r="N2" s="4" t="s">
        <v>104</v>
      </c>
      <c r="O2" s="4"/>
    </row>
    <row r="3" ht="69.75" customHeight="1">
      <c r="A3" s="3">
        <v>1.0</v>
      </c>
      <c r="B3" s="3" t="s">
        <v>56</v>
      </c>
      <c r="C3" s="3" t="s">
        <v>73</v>
      </c>
      <c r="D3" s="4" t="s">
        <v>81</v>
      </c>
      <c r="E3" s="4" t="s">
        <v>126</v>
      </c>
      <c r="F3" s="4" t="s">
        <v>129</v>
      </c>
      <c r="G3" s="4" t="s">
        <v>132</v>
      </c>
      <c r="H3" s="4" t="s">
        <v>135</v>
      </c>
      <c r="I3" s="4" t="s">
        <v>81</v>
      </c>
      <c r="J3" s="4" t="s">
        <v>146</v>
      </c>
      <c r="K3" s="4" t="s">
        <v>146</v>
      </c>
      <c r="L3" s="4" t="s">
        <v>94</v>
      </c>
      <c r="M3" s="4" t="s">
        <v>100</v>
      </c>
      <c r="N3" s="4" t="s">
        <v>104</v>
      </c>
      <c r="O3" s="4"/>
    </row>
    <row r="4" ht="69.75" customHeight="1">
      <c r="A4" s="3">
        <v>2.0</v>
      </c>
      <c r="B4" s="3" t="s">
        <v>56</v>
      </c>
      <c r="C4" s="3" t="s">
        <v>106</v>
      </c>
      <c r="D4" s="4" t="s">
        <v>189</v>
      </c>
      <c r="E4" s="11" t="s">
        <v>192</v>
      </c>
      <c r="F4" s="4" t="s">
        <v>198</v>
      </c>
      <c r="G4" s="4" t="s">
        <v>203</v>
      </c>
      <c r="H4" s="4" t="s">
        <v>207</v>
      </c>
      <c r="I4" s="4" t="s">
        <v>81</v>
      </c>
      <c r="J4" s="4" t="s">
        <v>216</v>
      </c>
      <c r="K4" s="4" t="s">
        <v>146</v>
      </c>
      <c r="L4" s="4" t="s">
        <v>94</v>
      </c>
      <c r="M4" s="4" t="s">
        <v>226</v>
      </c>
      <c r="N4" s="4" t="s">
        <v>228</v>
      </c>
      <c r="O4" s="4"/>
    </row>
    <row r="5" ht="69.75" customHeight="1">
      <c r="A5" s="3">
        <v>3.0</v>
      </c>
      <c r="B5" s="3" t="s">
        <v>56</v>
      </c>
      <c r="C5" s="3" t="s">
        <v>176</v>
      </c>
      <c r="D5" s="4" t="s">
        <v>240</v>
      </c>
      <c r="E5" s="4" t="s">
        <v>243</v>
      </c>
      <c r="F5" s="4" t="s">
        <v>247</v>
      </c>
      <c r="G5" s="4" t="s">
        <v>250</v>
      </c>
      <c r="H5" s="4" t="s">
        <v>252</v>
      </c>
      <c r="I5" s="4" t="s">
        <v>256</v>
      </c>
      <c r="J5" s="4" t="s">
        <v>259</v>
      </c>
      <c r="K5" s="4" t="s">
        <v>146</v>
      </c>
      <c r="L5" s="4" t="s">
        <v>94</v>
      </c>
      <c r="M5" s="4" t="s">
        <v>226</v>
      </c>
      <c r="N5" s="4" t="s">
        <v>228</v>
      </c>
      <c r="O5" s="4"/>
    </row>
    <row r="6" ht="69.75" customHeight="1">
      <c r="A6" s="3">
        <v>4.0</v>
      </c>
      <c r="B6" s="3" t="s">
        <v>56</v>
      </c>
      <c r="C6" s="3" t="s">
        <v>230</v>
      </c>
      <c r="D6" s="4" t="s">
        <v>277</v>
      </c>
      <c r="E6" s="4" t="s">
        <v>280</v>
      </c>
      <c r="F6" s="4" t="s">
        <v>283</v>
      </c>
      <c r="G6" s="4" t="s">
        <v>284</v>
      </c>
      <c r="H6" s="4" t="s">
        <v>285</v>
      </c>
      <c r="I6" s="4" t="s">
        <v>256</v>
      </c>
      <c r="J6" s="4" t="s">
        <v>289</v>
      </c>
      <c r="K6" s="4" t="s">
        <v>146</v>
      </c>
      <c r="L6" s="4" t="s">
        <v>94</v>
      </c>
      <c r="M6" s="4" t="s">
        <v>100</v>
      </c>
      <c r="N6" s="4" t="s">
        <v>104</v>
      </c>
      <c r="O6" s="4"/>
    </row>
    <row r="7" ht="69.75" customHeight="1">
      <c r="A7" s="3">
        <v>5.0</v>
      </c>
      <c r="B7" s="3" t="s">
        <v>56</v>
      </c>
      <c r="C7" s="3" t="s">
        <v>262</v>
      </c>
      <c r="D7" s="4" t="s">
        <v>296</v>
      </c>
      <c r="E7" s="4" t="s">
        <v>297</v>
      </c>
      <c r="F7" s="4" t="s">
        <v>299</v>
      </c>
      <c r="G7" s="4" t="s">
        <v>300</v>
      </c>
      <c r="H7" s="4" t="s">
        <v>302</v>
      </c>
      <c r="I7" s="4" t="s">
        <v>256</v>
      </c>
      <c r="J7" s="4" t="s">
        <v>289</v>
      </c>
      <c r="K7" s="4" t="s">
        <v>308</v>
      </c>
      <c r="L7" s="4" t="s">
        <v>94</v>
      </c>
      <c r="M7" s="4" t="s">
        <v>100</v>
      </c>
      <c r="N7" s="4" t="s">
        <v>104</v>
      </c>
      <c r="O7" s="4"/>
    </row>
    <row r="8" ht="69.75" customHeight="1">
      <c r="A8" s="3">
        <v>6.0</v>
      </c>
      <c r="B8" s="3" t="s">
        <v>56</v>
      </c>
      <c r="C8" s="3" t="s">
        <v>290</v>
      </c>
      <c r="D8" s="4" t="s">
        <v>317</v>
      </c>
      <c r="E8" s="4" t="s">
        <v>320</v>
      </c>
      <c r="F8" s="4" t="s">
        <v>324</v>
      </c>
      <c r="G8" s="4" t="s">
        <v>327</v>
      </c>
      <c r="H8" s="4" t="s">
        <v>302</v>
      </c>
      <c r="I8" s="4" t="s">
        <v>256</v>
      </c>
      <c r="J8" s="4" t="s">
        <v>289</v>
      </c>
      <c r="K8" s="4" t="s">
        <v>336</v>
      </c>
      <c r="L8" s="4" t="s">
        <v>94</v>
      </c>
      <c r="M8" s="4" t="s">
        <v>226</v>
      </c>
      <c r="N8" s="4" t="s">
        <v>104</v>
      </c>
      <c r="O8" s="4"/>
    </row>
    <row r="9" ht="69.75" customHeight="1">
      <c r="A9" s="3">
        <v>7.0</v>
      </c>
      <c r="B9" s="3" t="s">
        <v>56</v>
      </c>
      <c r="C9" s="3" t="s">
        <v>309</v>
      </c>
      <c r="D9" s="4" t="s">
        <v>353</v>
      </c>
      <c r="E9" s="4" t="s">
        <v>356</v>
      </c>
      <c r="F9" s="4" t="s">
        <v>359</v>
      </c>
      <c r="G9" s="4" t="s">
        <v>362</v>
      </c>
      <c r="H9" s="4" t="s">
        <v>365</v>
      </c>
      <c r="I9" s="4" t="s">
        <v>368</v>
      </c>
      <c r="J9" s="4" t="s">
        <v>289</v>
      </c>
      <c r="K9" s="4" t="s">
        <v>374</v>
      </c>
      <c r="L9" s="4" t="s">
        <v>94</v>
      </c>
      <c r="M9" s="4" t="s">
        <v>100</v>
      </c>
      <c r="N9" s="4" t="s">
        <v>228</v>
      </c>
      <c r="O9" s="4"/>
    </row>
    <row r="10" ht="69.75" customHeight="1">
      <c r="A10" s="15">
        <v>8.0</v>
      </c>
      <c r="B10" s="15" t="s">
        <v>141</v>
      </c>
      <c r="C10" s="15" t="s">
        <v>341</v>
      </c>
      <c r="D10" s="16" t="s">
        <v>189</v>
      </c>
      <c r="E10" s="16" t="s">
        <v>394</v>
      </c>
      <c r="F10" s="16" t="s">
        <v>398</v>
      </c>
      <c r="G10" s="16" t="s">
        <v>402</v>
      </c>
      <c r="H10" s="16" t="s">
        <v>207</v>
      </c>
      <c r="I10" s="16" t="s">
        <v>407</v>
      </c>
      <c r="J10" s="16" t="s">
        <v>289</v>
      </c>
      <c r="K10" s="16" t="s">
        <v>374</v>
      </c>
      <c r="L10" s="16" t="s">
        <v>94</v>
      </c>
      <c r="M10" s="16" t="s">
        <v>226</v>
      </c>
      <c r="N10" s="16" t="s">
        <v>228</v>
      </c>
      <c r="O10" s="16"/>
    </row>
    <row r="11" ht="69.75" customHeight="1">
      <c r="A11" s="15">
        <v>9.0</v>
      </c>
      <c r="B11" s="15" t="s">
        <v>141</v>
      </c>
      <c r="C11" s="15" t="s">
        <v>382</v>
      </c>
      <c r="D11" s="16" t="s">
        <v>431</v>
      </c>
      <c r="E11" s="16" t="s">
        <v>434</v>
      </c>
      <c r="F11" s="16" t="s">
        <v>437</v>
      </c>
      <c r="G11" s="16" t="s">
        <v>439</v>
      </c>
      <c r="H11" s="16" t="s">
        <v>441</v>
      </c>
      <c r="I11" s="16" t="s">
        <v>445</v>
      </c>
      <c r="J11" s="16" t="s">
        <v>289</v>
      </c>
      <c r="K11" s="16" t="s">
        <v>374</v>
      </c>
      <c r="L11" s="16" t="s">
        <v>94</v>
      </c>
      <c r="M11" s="16" t="s">
        <v>100</v>
      </c>
      <c r="N11" s="16" t="s">
        <v>228</v>
      </c>
      <c r="O11" s="16"/>
    </row>
    <row r="12" ht="69.75" customHeight="1">
      <c r="A12" s="15">
        <v>10.0</v>
      </c>
      <c r="B12" s="15" t="s">
        <v>141</v>
      </c>
      <c r="C12" s="15" t="s">
        <v>416</v>
      </c>
      <c r="D12" s="16" t="s">
        <v>465</v>
      </c>
      <c r="E12" s="16" t="s">
        <v>467</v>
      </c>
      <c r="F12" s="16" t="s">
        <v>469</v>
      </c>
      <c r="G12" s="16" t="s">
        <v>472</v>
      </c>
      <c r="H12" s="16" t="s">
        <v>474</v>
      </c>
      <c r="I12" s="16" t="s">
        <v>445</v>
      </c>
      <c r="J12" s="16" t="s">
        <v>289</v>
      </c>
      <c r="K12" s="16" t="s">
        <v>374</v>
      </c>
      <c r="L12" s="16" t="s">
        <v>94</v>
      </c>
      <c r="M12" s="16" t="s">
        <v>100</v>
      </c>
      <c r="N12" s="16" t="s">
        <v>450</v>
      </c>
      <c r="O12" s="16"/>
    </row>
    <row r="13" ht="69.75" customHeight="1">
      <c r="A13" s="15">
        <v>11.0</v>
      </c>
      <c r="B13" s="15" t="s">
        <v>141</v>
      </c>
      <c r="C13" s="15" t="s">
        <v>455</v>
      </c>
      <c r="D13" s="16" t="s">
        <v>81</v>
      </c>
      <c r="E13" s="16" t="s">
        <v>485</v>
      </c>
      <c r="F13" s="16" t="s">
        <v>487</v>
      </c>
      <c r="G13" s="16" t="s">
        <v>489</v>
      </c>
      <c r="H13" s="16" t="s">
        <v>491</v>
      </c>
      <c r="I13" s="16" t="s">
        <v>81</v>
      </c>
      <c r="J13" s="16" t="s">
        <v>289</v>
      </c>
      <c r="K13" s="16" t="s">
        <v>374</v>
      </c>
      <c r="L13" s="16" t="s">
        <v>94</v>
      </c>
      <c r="M13" s="16" t="s">
        <v>100</v>
      </c>
      <c r="N13" s="16" t="s">
        <v>228</v>
      </c>
      <c r="O13" s="16"/>
    </row>
    <row r="14" ht="69.75" customHeight="1">
      <c r="A14" s="17">
        <v>12.0</v>
      </c>
      <c r="B14" s="17" t="s">
        <v>152</v>
      </c>
      <c r="C14" s="17" t="s">
        <v>477</v>
      </c>
      <c r="D14" s="18" t="s">
        <v>81</v>
      </c>
      <c r="E14" s="18" t="s">
        <v>502</v>
      </c>
      <c r="F14" s="18" t="s">
        <v>504</v>
      </c>
      <c r="G14" s="18" t="s">
        <v>507</v>
      </c>
      <c r="H14" s="18" t="s">
        <v>302</v>
      </c>
      <c r="I14" s="18" t="s">
        <v>81</v>
      </c>
      <c r="J14" s="18" t="s">
        <v>289</v>
      </c>
      <c r="K14" s="18" t="s">
        <v>374</v>
      </c>
      <c r="L14" s="18" t="s">
        <v>94</v>
      </c>
      <c r="M14" s="18" t="s">
        <v>100</v>
      </c>
      <c r="N14" s="18" t="s">
        <v>450</v>
      </c>
      <c r="O14" s="18"/>
    </row>
    <row r="15" ht="69.75" customHeight="1">
      <c r="A15" s="17">
        <v>13.0</v>
      </c>
      <c r="B15" s="17" t="s">
        <v>152</v>
      </c>
      <c r="C15" s="17" t="s">
        <v>494</v>
      </c>
      <c r="D15" s="18" t="s">
        <v>519</v>
      </c>
      <c r="E15" s="19" t="s">
        <v>521</v>
      </c>
      <c r="F15" s="18" t="s">
        <v>523</v>
      </c>
      <c r="G15" s="19"/>
      <c r="H15" s="18" t="s">
        <v>526</v>
      </c>
      <c r="I15" s="18" t="s">
        <v>81</v>
      </c>
      <c r="J15" s="18" t="s">
        <v>289</v>
      </c>
      <c r="K15" s="18" t="s">
        <v>374</v>
      </c>
      <c r="L15" s="18" t="s">
        <v>94</v>
      </c>
      <c r="M15" s="18" t="s">
        <v>100</v>
      </c>
      <c r="N15" s="18" t="s">
        <v>228</v>
      </c>
      <c r="O15" s="18"/>
    </row>
    <row r="16" ht="69.75" customHeight="1">
      <c r="A16" s="17">
        <v>14.0</v>
      </c>
      <c r="B16" s="17" t="s">
        <v>152</v>
      </c>
      <c r="C16" s="17" t="s">
        <v>511</v>
      </c>
      <c r="D16" s="18" t="s">
        <v>536</v>
      </c>
      <c r="E16" s="18" t="s">
        <v>538</v>
      </c>
      <c r="F16" s="18" t="s">
        <v>540</v>
      </c>
      <c r="G16" s="18" t="s">
        <v>543</v>
      </c>
      <c r="H16" s="18" t="s">
        <v>545</v>
      </c>
      <c r="I16" s="18" t="s">
        <v>536</v>
      </c>
      <c r="J16" s="18" t="s">
        <v>547</v>
      </c>
      <c r="K16" s="18" t="s">
        <v>374</v>
      </c>
      <c r="L16" s="18" t="s">
        <v>94</v>
      </c>
      <c r="M16" s="18" t="s">
        <v>100</v>
      </c>
      <c r="N16" s="18" t="s">
        <v>450</v>
      </c>
      <c r="O16" s="18"/>
    </row>
    <row r="17" ht="69.75" customHeight="1">
      <c r="A17" s="17">
        <v>15.0</v>
      </c>
      <c r="B17" s="17" t="s">
        <v>152</v>
      </c>
      <c r="C17" s="17" t="s">
        <v>529</v>
      </c>
      <c r="D17" s="18" t="s">
        <v>557</v>
      </c>
      <c r="E17" s="18" t="s">
        <v>559</v>
      </c>
      <c r="F17" s="18" t="s">
        <v>561</v>
      </c>
      <c r="G17" s="18" t="s">
        <v>563</v>
      </c>
      <c r="H17" s="18" t="s">
        <v>207</v>
      </c>
      <c r="I17" s="18" t="s">
        <v>536</v>
      </c>
      <c r="J17" s="18" t="s">
        <v>565</v>
      </c>
      <c r="K17" s="18" t="s">
        <v>374</v>
      </c>
      <c r="L17" s="18" t="s">
        <v>94</v>
      </c>
      <c r="M17" s="18" t="s">
        <v>100</v>
      </c>
      <c r="N17" s="18" t="s">
        <v>104</v>
      </c>
      <c r="O17" s="18"/>
    </row>
    <row r="18" ht="69.75" customHeight="1">
      <c r="A18" s="17">
        <v>16.0</v>
      </c>
      <c r="B18" s="17" t="s">
        <v>152</v>
      </c>
      <c r="C18" s="17" t="s">
        <v>548</v>
      </c>
      <c r="D18" s="18" t="s">
        <v>536</v>
      </c>
      <c r="E18" s="18" t="s">
        <v>579</v>
      </c>
      <c r="F18" s="18" t="s">
        <v>581</v>
      </c>
      <c r="G18" s="18" t="s">
        <v>582</v>
      </c>
      <c r="H18" s="18" t="s">
        <v>474</v>
      </c>
      <c r="I18" s="18" t="s">
        <v>536</v>
      </c>
      <c r="J18" s="18" t="s">
        <v>587</v>
      </c>
      <c r="K18" s="18" t="s">
        <v>374</v>
      </c>
      <c r="L18" s="18" t="s">
        <v>94</v>
      </c>
      <c r="M18" s="18" t="s">
        <v>100</v>
      </c>
      <c r="N18" s="18" t="s">
        <v>104</v>
      </c>
      <c r="O18" s="18"/>
    </row>
    <row r="19" ht="69.75" customHeight="1">
      <c r="A19" s="17">
        <v>17.0</v>
      </c>
      <c r="B19" s="17" t="s">
        <v>152</v>
      </c>
      <c r="C19" s="17" t="s">
        <v>566</v>
      </c>
      <c r="D19" s="18" t="s">
        <v>536</v>
      </c>
      <c r="E19" s="18" t="s">
        <v>598</v>
      </c>
      <c r="F19" s="18" t="s">
        <v>601</v>
      </c>
      <c r="G19" s="18" t="s">
        <v>603</v>
      </c>
      <c r="H19" s="18" t="s">
        <v>605</v>
      </c>
      <c r="I19" s="18" t="s">
        <v>536</v>
      </c>
      <c r="J19" s="18" t="s">
        <v>608</v>
      </c>
      <c r="K19" s="18" t="s">
        <v>374</v>
      </c>
      <c r="L19" s="18" t="s">
        <v>94</v>
      </c>
      <c r="M19" s="18" t="s">
        <v>100</v>
      </c>
      <c r="N19" s="18" t="s">
        <v>228</v>
      </c>
      <c r="O19" s="18"/>
    </row>
    <row r="20" ht="69.75" customHeight="1">
      <c r="A20" s="17">
        <v>18.0</v>
      </c>
      <c r="B20" s="17" t="s">
        <v>152</v>
      </c>
      <c r="C20" s="17" t="s">
        <v>583</v>
      </c>
      <c r="D20" s="18" t="s">
        <v>619</v>
      </c>
      <c r="E20" s="18" t="s">
        <v>622</v>
      </c>
      <c r="F20" s="18" t="s">
        <v>624</v>
      </c>
      <c r="G20" s="18" t="s">
        <v>626</v>
      </c>
      <c r="H20" s="18" t="s">
        <v>302</v>
      </c>
      <c r="I20" s="18" t="s">
        <v>536</v>
      </c>
      <c r="J20" s="18" t="s">
        <v>629</v>
      </c>
      <c r="K20" s="18" t="s">
        <v>374</v>
      </c>
      <c r="L20" s="18" t="s">
        <v>94</v>
      </c>
      <c r="M20" s="18" t="s">
        <v>226</v>
      </c>
      <c r="N20" s="18" t="s">
        <v>104</v>
      </c>
      <c r="O20" s="18"/>
    </row>
    <row r="21" ht="69.75" customHeight="1">
      <c r="A21" s="17">
        <v>19.0</v>
      </c>
      <c r="B21" s="17" t="s">
        <v>152</v>
      </c>
      <c r="C21" s="17" t="s">
        <v>597</v>
      </c>
      <c r="D21" s="18" t="s">
        <v>536</v>
      </c>
      <c r="E21" s="18" t="s">
        <v>640</v>
      </c>
      <c r="F21" s="18" t="s">
        <v>643</v>
      </c>
      <c r="G21" s="18" t="s">
        <v>645</v>
      </c>
      <c r="H21" s="18" t="s">
        <v>365</v>
      </c>
      <c r="I21" s="18" t="s">
        <v>536</v>
      </c>
      <c r="J21" s="18" t="s">
        <v>650</v>
      </c>
      <c r="K21" s="18" t="s">
        <v>374</v>
      </c>
      <c r="L21" s="18" t="s">
        <v>94</v>
      </c>
      <c r="M21" s="18" t="s">
        <v>100</v>
      </c>
      <c r="N21" s="18" t="s">
        <v>228</v>
      </c>
      <c r="O21" s="18"/>
    </row>
    <row r="22" ht="69.75" customHeight="1">
      <c r="A22" s="20">
        <v>20.0</v>
      </c>
      <c r="B22" s="20" t="s">
        <v>160</v>
      </c>
      <c r="C22" s="20" t="s">
        <v>615</v>
      </c>
      <c r="D22" s="21" t="s">
        <v>660</v>
      </c>
      <c r="E22" s="21" t="s">
        <v>662</v>
      </c>
      <c r="F22" s="21" t="s">
        <v>664</v>
      </c>
      <c r="G22" s="21" t="s">
        <v>666</v>
      </c>
      <c r="H22" s="21" t="s">
        <v>302</v>
      </c>
      <c r="I22" s="21" t="s">
        <v>536</v>
      </c>
      <c r="J22" s="21" t="s">
        <v>668</v>
      </c>
      <c r="K22" s="21" t="s">
        <v>669</v>
      </c>
      <c r="L22" s="21" t="s">
        <v>670</v>
      </c>
      <c r="M22" s="21" t="s">
        <v>100</v>
      </c>
      <c r="N22" s="21" t="s">
        <v>450</v>
      </c>
      <c r="O22" s="21"/>
    </row>
    <row r="23" ht="69.75" customHeight="1">
      <c r="A23" s="20">
        <v>21.0</v>
      </c>
      <c r="B23" s="20" t="s">
        <v>160</v>
      </c>
      <c r="C23" s="20" t="s">
        <v>633</v>
      </c>
      <c r="D23" s="21" t="s">
        <v>678</v>
      </c>
      <c r="E23" s="21" t="s">
        <v>680</v>
      </c>
      <c r="F23" s="21" t="s">
        <v>682</v>
      </c>
      <c r="G23" s="21" t="s">
        <v>684</v>
      </c>
      <c r="H23" s="21" t="s">
        <v>135</v>
      </c>
      <c r="I23" s="21" t="s">
        <v>686</v>
      </c>
      <c r="J23" s="21" t="s">
        <v>688</v>
      </c>
      <c r="K23" s="21" t="s">
        <v>690</v>
      </c>
      <c r="L23" s="21" t="s">
        <v>692</v>
      </c>
      <c r="M23" s="21" t="s">
        <v>226</v>
      </c>
      <c r="N23" s="21" t="s">
        <v>104</v>
      </c>
      <c r="O23" s="21"/>
    </row>
    <row r="24" ht="69.75" customHeight="1">
      <c r="A24" s="20">
        <v>22.0</v>
      </c>
      <c r="B24" s="20" t="s">
        <v>160</v>
      </c>
      <c r="C24" s="20" t="s">
        <v>651</v>
      </c>
      <c r="D24" s="21" t="s">
        <v>698</v>
      </c>
      <c r="E24" s="21" t="s">
        <v>700</v>
      </c>
      <c r="F24" s="21" t="s">
        <v>702</v>
      </c>
      <c r="G24" s="21" t="s">
        <v>704</v>
      </c>
      <c r="H24" s="21" t="s">
        <v>252</v>
      </c>
      <c r="I24" s="21" t="s">
        <v>706</v>
      </c>
      <c r="J24" s="21" t="s">
        <v>688</v>
      </c>
      <c r="K24" s="21" t="s">
        <v>690</v>
      </c>
      <c r="L24" s="21" t="s">
        <v>710</v>
      </c>
      <c r="M24" s="21" t="s">
        <v>226</v>
      </c>
      <c r="N24" s="21" t="s">
        <v>228</v>
      </c>
      <c r="O24" s="21"/>
    </row>
    <row r="25" ht="69.75" customHeight="1">
      <c r="A25" s="22">
        <v>23.0</v>
      </c>
      <c r="B25" s="22" t="s">
        <v>166</v>
      </c>
      <c r="C25" s="22" t="s">
        <v>671</v>
      </c>
      <c r="D25" s="23" t="s">
        <v>678</v>
      </c>
      <c r="E25" s="23" t="s">
        <v>717</v>
      </c>
      <c r="F25" s="23" t="s">
        <v>719</v>
      </c>
      <c r="G25" s="23" t="s">
        <v>721</v>
      </c>
      <c r="H25" s="23" t="s">
        <v>723</v>
      </c>
      <c r="I25" s="23" t="s">
        <v>725</v>
      </c>
      <c r="J25" s="23" t="s">
        <v>727</v>
      </c>
      <c r="K25" s="23" t="s">
        <v>729</v>
      </c>
      <c r="L25" s="23" t="s">
        <v>731</v>
      </c>
      <c r="M25" s="23" t="s">
        <v>226</v>
      </c>
      <c r="N25" s="23" t="s">
        <v>228</v>
      </c>
      <c r="O25" s="23"/>
    </row>
    <row r="26" ht="69.75" customHeight="1">
      <c r="A26" s="22">
        <v>24.0</v>
      </c>
      <c r="B26" s="22" t="s">
        <v>166</v>
      </c>
      <c r="C26" s="22" t="s">
        <v>693</v>
      </c>
      <c r="D26" s="23" t="s">
        <v>736</v>
      </c>
      <c r="E26" s="23" t="s">
        <v>738</v>
      </c>
      <c r="F26" s="23" t="s">
        <v>740</v>
      </c>
      <c r="G26" s="23" t="s">
        <v>742</v>
      </c>
      <c r="H26" s="23" t="s">
        <v>744</v>
      </c>
      <c r="I26" s="23" t="s">
        <v>746</v>
      </c>
      <c r="J26" s="23" t="s">
        <v>688</v>
      </c>
      <c r="K26" s="23" t="s">
        <v>748</v>
      </c>
      <c r="L26" s="23" t="s">
        <v>749</v>
      </c>
      <c r="M26" s="23" t="s">
        <v>226</v>
      </c>
      <c r="N26" s="23" t="s">
        <v>228</v>
      </c>
      <c r="O26" s="23"/>
    </row>
    <row r="27" ht="69.75" customHeight="1">
      <c r="A27" s="22">
        <v>25.0</v>
      </c>
      <c r="B27" s="22" t="s">
        <v>166</v>
      </c>
      <c r="C27" s="22" t="s">
        <v>713</v>
      </c>
      <c r="D27" s="23" t="s">
        <v>678</v>
      </c>
      <c r="E27" s="23" t="s">
        <v>756</v>
      </c>
      <c r="F27" s="23" t="s">
        <v>758</v>
      </c>
      <c r="G27" s="23" t="s">
        <v>760</v>
      </c>
      <c r="H27" s="23" t="s">
        <v>762</v>
      </c>
      <c r="I27" s="23" t="s">
        <v>536</v>
      </c>
      <c r="J27" s="23" t="s">
        <v>650</v>
      </c>
      <c r="K27" s="23" t="s">
        <v>766</v>
      </c>
      <c r="L27" s="23" t="s">
        <v>768</v>
      </c>
      <c r="M27" s="23" t="s">
        <v>100</v>
      </c>
      <c r="N27" s="23" t="s">
        <v>450</v>
      </c>
      <c r="O27" s="23"/>
    </row>
    <row r="28" ht="69.75" customHeight="1">
      <c r="A28" s="22">
        <v>26.0</v>
      </c>
      <c r="B28" s="22" t="s">
        <v>166</v>
      </c>
      <c r="C28" s="22" t="s">
        <v>735</v>
      </c>
      <c r="D28" s="23" t="s">
        <v>776</v>
      </c>
      <c r="E28" s="23" t="s">
        <v>777</v>
      </c>
      <c r="F28" s="23" t="s">
        <v>778</v>
      </c>
      <c r="G28" s="23" t="s">
        <v>781</v>
      </c>
      <c r="H28" s="23" t="s">
        <v>207</v>
      </c>
      <c r="I28" s="23" t="s">
        <v>536</v>
      </c>
      <c r="J28" s="23" t="s">
        <v>688</v>
      </c>
      <c r="K28" s="23" t="s">
        <v>766</v>
      </c>
      <c r="L28" s="23" t="s">
        <v>787</v>
      </c>
      <c r="M28" s="23" t="s">
        <v>226</v>
      </c>
      <c r="N28" s="23" t="s">
        <v>228</v>
      </c>
      <c r="O28" s="23"/>
    </row>
    <row r="29" ht="69.75" customHeight="1">
      <c r="A29" s="24">
        <v>27.0</v>
      </c>
      <c r="B29" s="24" t="s">
        <v>174</v>
      </c>
      <c r="C29" s="24" t="s">
        <v>757</v>
      </c>
      <c r="D29" s="25" t="s">
        <v>536</v>
      </c>
      <c r="E29" s="25" t="s">
        <v>797</v>
      </c>
      <c r="F29" s="25" t="s">
        <v>800</v>
      </c>
      <c r="G29" s="25" t="s">
        <v>802</v>
      </c>
      <c r="H29" s="25" t="s">
        <v>803</v>
      </c>
      <c r="I29" s="25" t="s">
        <v>536</v>
      </c>
      <c r="J29" s="25" t="s">
        <v>688</v>
      </c>
      <c r="K29" s="25" t="s">
        <v>804</v>
      </c>
      <c r="L29" s="25" t="s">
        <v>806</v>
      </c>
      <c r="M29" s="25" t="s">
        <v>100</v>
      </c>
      <c r="N29" s="25" t="s">
        <v>104</v>
      </c>
      <c r="O29" s="25"/>
    </row>
    <row r="30" ht="69.75" customHeight="1">
      <c r="A30" s="24">
        <v>28.0</v>
      </c>
      <c r="B30" s="24" t="s">
        <v>174</v>
      </c>
      <c r="C30" s="24" t="s">
        <v>779</v>
      </c>
      <c r="D30" s="25" t="s">
        <v>812</v>
      </c>
      <c r="E30" s="25" t="s">
        <v>813</v>
      </c>
      <c r="F30" s="25" t="s">
        <v>814</v>
      </c>
      <c r="G30" s="25" t="s">
        <v>815</v>
      </c>
      <c r="H30" s="25" t="s">
        <v>135</v>
      </c>
      <c r="I30" s="25" t="s">
        <v>816</v>
      </c>
      <c r="J30" s="25" t="s">
        <v>688</v>
      </c>
      <c r="K30" s="25" t="s">
        <v>804</v>
      </c>
      <c r="L30" s="25" t="s">
        <v>806</v>
      </c>
      <c r="M30" s="25" t="s">
        <v>100</v>
      </c>
      <c r="N30" s="25" t="s">
        <v>104</v>
      </c>
      <c r="O30" s="25"/>
    </row>
    <row r="31" ht="69.75" customHeight="1">
      <c r="A31" s="24">
        <v>29.0</v>
      </c>
      <c r="B31" s="24" t="s">
        <v>174</v>
      </c>
      <c r="C31" s="24" t="s">
        <v>211</v>
      </c>
      <c r="D31" s="25" t="s">
        <v>817</v>
      </c>
      <c r="E31" s="25" t="s">
        <v>818</v>
      </c>
      <c r="F31" s="25" t="s">
        <v>819</v>
      </c>
      <c r="G31" s="25" t="s">
        <v>820</v>
      </c>
      <c r="H31" s="25" t="s">
        <v>207</v>
      </c>
      <c r="I31" s="25" t="s">
        <v>821</v>
      </c>
      <c r="J31" s="25" t="s">
        <v>822</v>
      </c>
      <c r="K31" s="25" t="s">
        <v>823</v>
      </c>
      <c r="L31" s="25" t="s">
        <v>806</v>
      </c>
      <c r="M31" s="25" t="s">
        <v>226</v>
      </c>
      <c r="N31" s="25" t="s">
        <v>228</v>
      </c>
      <c r="O31" s="25"/>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N2:N31">
    <cfRule type="expression" dxfId="8" priority="1">
      <formula>N2="Needs Decision"</formula>
    </cfRule>
  </conditionalFormatting>
  <conditionalFormatting sqref="N2:N31">
    <cfRule type="expression" dxfId="9" priority="2">
      <formula>N2="Locked"</formula>
    </cfRule>
  </conditionalFormatting>
  <dataValidations>
    <dataValidation type="list" allowBlank="1" sqref="M2:M31">
      <formula1>"Not Started,Planned,In Build,Playable,Polish,Locked"</formula1>
    </dataValidation>
    <dataValidation type="list" allowBlank="1" sqref="N2:N31">
      <formula1>"Open,Needs Decision,Mapped,Recommended,Locked,Revisit"</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28.0"/>
    <col customWidth="1" min="3" max="3" width="36.0"/>
    <col customWidth="1" min="4" max="4" width="38.0"/>
    <col customWidth="1" min="5" max="5" width="40.0"/>
    <col customWidth="1" min="6" max="7" width="44.0"/>
    <col customWidth="1" min="8" max="8" width="40.0"/>
    <col customWidth="1" min="9" max="9" width="18.0"/>
    <col customWidth="1" min="10" max="10" width="44.0"/>
    <col customWidth="1" min="11" max="11" width="40.0"/>
    <col customWidth="1" min="12" max="12" width="30.0"/>
    <col customWidth="1" min="13" max="14" width="42.0"/>
    <col customWidth="1" min="15" max="15" width="44.0"/>
    <col customWidth="1" min="16" max="16" width="36.0"/>
    <col customWidth="1" min="17" max="26" width="8.63"/>
  </cols>
  <sheetData>
    <row r="1" ht="37.5" customHeight="1">
      <c r="A1" s="1" t="s">
        <v>0</v>
      </c>
      <c r="B1" s="1" t="s">
        <v>2</v>
      </c>
      <c r="C1" s="1" t="s">
        <v>5</v>
      </c>
      <c r="D1" s="1" t="s">
        <v>7</v>
      </c>
      <c r="E1" s="1" t="s">
        <v>10</v>
      </c>
      <c r="F1" s="1" t="s">
        <v>12</v>
      </c>
      <c r="G1" s="1" t="s">
        <v>15</v>
      </c>
      <c r="H1" s="1" t="s">
        <v>18</v>
      </c>
      <c r="I1" s="1" t="s">
        <v>20</v>
      </c>
      <c r="J1" s="1" t="s">
        <v>23</v>
      </c>
      <c r="K1" s="1" t="s">
        <v>25</v>
      </c>
      <c r="L1" s="1" t="s">
        <v>27</v>
      </c>
      <c r="M1" s="1" t="s">
        <v>30</v>
      </c>
      <c r="N1" s="1" t="s">
        <v>32</v>
      </c>
      <c r="O1" s="1" t="s">
        <v>35</v>
      </c>
      <c r="P1" s="1" t="s">
        <v>21</v>
      </c>
    </row>
    <row r="2" ht="91.5" customHeight="1">
      <c r="A2" s="2">
        <v>0.0</v>
      </c>
      <c r="B2" s="2" t="s">
        <v>42</v>
      </c>
      <c r="C2" s="2" t="s">
        <v>44</v>
      </c>
      <c r="D2" s="2" t="s">
        <v>46</v>
      </c>
      <c r="E2" s="2" t="s">
        <v>47</v>
      </c>
      <c r="F2" s="2" t="s">
        <v>49</v>
      </c>
      <c r="G2" s="2" t="s">
        <v>51</v>
      </c>
      <c r="H2" s="2" t="s">
        <v>52</v>
      </c>
      <c r="I2" s="2" t="s">
        <v>54</v>
      </c>
      <c r="J2" s="2" t="s">
        <v>57</v>
      </c>
      <c r="K2" s="2" t="s">
        <v>59</v>
      </c>
      <c r="L2" s="2" t="s">
        <v>60</v>
      </c>
      <c r="M2" s="2" t="s">
        <v>61</v>
      </c>
      <c r="N2" s="2" t="s">
        <v>64</v>
      </c>
      <c r="O2" s="2" t="s">
        <v>66</v>
      </c>
      <c r="P2" s="2"/>
    </row>
    <row r="3" ht="91.5" customHeight="1">
      <c r="A3" s="2">
        <v>1.0</v>
      </c>
      <c r="B3" s="2" t="s">
        <v>73</v>
      </c>
      <c r="C3" s="2" t="s">
        <v>76</v>
      </c>
      <c r="D3" s="2" t="s">
        <v>78</v>
      </c>
      <c r="E3" s="2" t="s">
        <v>79</v>
      </c>
      <c r="F3" s="2" t="s">
        <v>82</v>
      </c>
      <c r="G3" s="2" t="s">
        <v>84</v>
      </c>
      <c r="H3" s="2" t="s">
        <v>86</v>
      </c>
      <c r="I3" s="2" t="s">
        <v>88</v>
      </c>
      <c r="J3" s="2" t="s">
        <v>90</v>
      </c>
      <c r="K3" s="2" t="s">
        <v>92</v>
      </c>
      <c r="L3" s="2" t="s">
        <v>95</v>
      </c>
      <c r="M3" s="2" t="s">
        <v>97</v>
      </c>
      <c r="N3" s="2" t="s">
        <v>98</v>
      </c>
      <c r="O3" s="2" t="s">
        <v>101</v>
      </c>
      <c r="P3" s="2"/>
    </row>
    <row r="4" ht="91.5" customHeight="1">
      <c r="A4" s="2">
        <v>2.0</v>
      </c>
      <c r="B4" s="2" t="s">
        <v>106</v>
      </c>
      <c r="C4" s="2" t="s">
        <v>110</v>
      </c>
      <c r="D4" s="2" t="s">
        <v>112</v>
      </c>
      <c r="E4" s="2" t="s">
        <v>115</v>
      </c>
      <c r="F4" s="2" t="s">
        <v>119</v>
      </c>
      <c r="G4" s="2" t="s">
        <v>122</v>
      </c>
      <c r="H4" s="2" t="s">
        <v>127</v>
      </c>
      <c r="I4" s="2" t="s">
        <v>130</v>
      </c>
      <c r="J4" s="2" t="s">
        <v>133</v>
      </c>
      <c r="K4" s="2" t="s">
        <v>136</v>
      </c>
      <c r="L4" s="2" t="s">
        <v>144</v>
      </c>
      <c r="M4" s="2" t="s">
        <v>148</v>
      </c>
      <c r="N4" s="2" t="s">
        <v>155</v>
      </c>
      <c r="O4" s="2" t="s">
        <v>159</v>
      </c>
      <c r="P4" s="2"/>
    </row>
    <row r="5" ht="91.5" customHeight="1">
      <c r="A5" s="2">
        <v>3.0</v>
      </c>
      <c r="B5" s="2" t="s">
        <v>176</v>
      </c>
      <c r="C5" s="2" t="s">
        <v>179</v>
      </c>
      <c r="D5" s="2" t="s">
        <v>181</v>
      </c>
      <c r="E5" s="2" t="s">
        <v>185</v>
      </c>
      <c r="F5" s="2" t="s">
        <v>190</v>
      </c>
      <c r="G5" s="2" t="s">
        <v>194</v>
      </c>
      <c r="H5" s="2" t="s">
        <v>197</v>
      </c>
      <c r="I5" s="2" t="s">
        <v>201</v>
      </c>
      <c r="J5" s="2" t="s">
        <v>205</v>
      </c>
      <c r="K5" s="2" t="s">
        <v>213</v>
      </c>
      <c r="L5" s="2" t="s">
        <v>217</v>
      </c>
      <c r="M5" s="2" t="s">
        <v>219</v>
      </c>
      <c r="N5" s="2" t="s">
        <v>222</v>
      </c>
      <c r="O5" s="2" t="s">
        <v>224</v>
      </c>
      <c r="P5" s="2"/>
    </row>
    <row r="6" ht="91.5" customHeight="1">
      <c r="A6" s="2">
        <v>4.0</v>
      </c>
      <c r="B6" s="2" t="s">
        <v>230</v>
      </c>
      <c r="C6" s="2" t="s">
        <v>232</v>
      </c>
      <c r="D6" s="2" t="s">
        <v>234</v>
      </c>
      <c r="E6" s="2" t="s">
        <v>235</v>
      </c>
      <c r="F6" s="2" t="s">
        <v>237</v>
      </c>
      <c r="G6" s="2" t="s">
        <v>239</v>
      </c>
      <c r="H6" s="2" t="s">
        <v>241</v>
      </c>
      <c r="I6" s="2" t="s">
        <v>244</v>
      </c>
      <c r="J6" s="2" t="s">
        <v>245</v>
      </c>
      <c r="K6" s="2" t="s">
        <v>248</v>
      </c>
      <c r="L6" s="2" t="s">
        <v>251</v>
      </c>
      <c r="M6" s="2" t="s">
        <v>253</v>
      </c>
      <c r="N6" s="2" t="s">
        <v>255</v>
      </c>
      <c r="O6" s="2" t="s">
        <v>258</v>
      </c>
      <c r="P6" s="2"/>
    </row>
    <row r="7" ht="91.5" customHeight="1">
      <c r="A7" s="2">
        <v>5.0</v>
      </c>
      <c r="B7" s="2" t="s">
        <v>262</v>
      </c>
      <c r="C7" s="2" t="s">
        <v>264</v>
      </c>
      <c r="D7" s="2" t="s">
        <v>265</v>
      </c>
      <c r="E7" s="2" t="s">
        <v>267</v>
      </c>
      <c r="F7" s="2" t="s">
        <v>269</v>
      </c>
      <c r="G7" s="2" t="s">
        <v>270</v>
      </c>
      <c r="H7" s="2" t="s">
        <v>272</v>
      </c>
      <c r="I7" s="2" t="s">
        <v>274</v>
      </c>
      <c r="J7" s="2" t="s">
        <v>276</v>
      </c>
      <c r="K7" s="2" t="s">
        <v>278</v>
      </c>
      <c r="L7" s="2" t="s">
        <v>281</v>
      </c>
      <c r="M7" s="2" t="s">
        <v>286</v>
      </c>
      <c r="N7" s="2" t="s">
        <v>287</v>
      </c>
      <c r="O7" s="2" t="s">
        <v>288</v>
      </c>
      <c r="P7" s="2"/>
    </row>
    <row r="8" ht="91.5" customHeight="1">
      <c r="A8" s="2">
        <v>6.0</v>
      </c>
      <c r="B8" s="2" t="s">
        <v>290</v>
      </c>
      <c r="C8" s="2" t="s">
        <v>291</v>
      </c>
      <c r="D8" s="2" t="s">
        <v>292</v>
      </c>
      <c r="E8" s="2" t="s">
        <v>293</v>
      </c>
      <c r="F8" s="2" t="s">
        <v>294</v>
      </c>
      <c r="G8" s="2" t="s">
        <v>295</v>
      </c>
      <c r="H8" s="2" t="s">
        <v>298</v>
      </c>
      <c r="I8" s="2" t="s">
        <v>274</v>
      </c>
      <c r="J8" s="2" t="s">
        <v>301</v>
      </c>
      <c r="K8" s="2" t="s">
        <v>303</v>
      </c>
      <c r="L8" s="2" t="s">
        <v>304</v>
      </c>
      <c r="M8" s="2" t="s">
        <v>305</v>
      </c>
      <c r="N8" s="2" t="s">
        <v>306</v>
      </c>
      <c r="O8" s="2" t="s">
        <v>307</v>
      </c>
      <c r="P8" s="2"/>
    </row>
    <row r="9" ht="91.5" customHeight="1">
      <c r="A9" s="2">
        <v>7.0</v>
      </c>
      <c r="B9" s="2" t="s">
        <v>309</v>
      </c>
      <c r="C9" s="2" t="s">
        <v>310</v>
      </c>
      <c r="D9" s="2" t="s">
        <v>311</v>
      </c>
      <c r="E9" s="2" t="s">
        <v>312</v>
      </c>
      <c r="F9" s="2" t="s">
        <v>313</v>
      </c>
      <c r="G9" s="2" t="s">
        <v>314</v>
      </c>
      <c r="H9" s="2" t="s">
        <v>316</v>
      </c>
      <c r="I9" s="2" t="s">
        <v>319</v>
      </c>
      <c r="J9" s="2" t="s">
        <v>322</v>
      </c>
      <c r="K9" s="2" t="s">
        <v>326</v>
      </c>
      <c r="L9" s="2" t="s">
        <v>329</v>
      </c>
      <c r="M9" s="2" t="s">
        <v>331</v>
      </c>
      <c r="N9" s="2" t="s">
        <v>333</v>
      </c>
      <c r="O9" s="2" t="s">
        <v>335</v>
      </c>
      <c r="P9" s="2"/>
    </row>
    <row r="10" ht="91.5" customHeight="1">
      <c r="A10" s="2">
        <v>8.0</v>
      </c>
      <c r="B10" s="2" t="s">
        <v>341</v>
      </c>
      <c r="C10" s="2" t="s">
        <v>343</v>
      </c>
      <c r="D10" s="2" t="s">
        <v>345</v>
      </c>
      <c r="E10" s="2" t="s">
        <v>348</v>
      </c>
      <c r="F10" s="2" t="s">
        <v>350</v>
      </c>
      <c r="G10" s="2" t="s">
        <v>352</v>
      </c>
      <c r="H10" s="2" t="s">
        <v>355</v>
      </c>
      <c r="I10" s="2" t="s">
        <v>130</v>
      </c>
      <c r="J10" s="2" t="s">
        <v>360</v>
      </c>
      <c r="K10" s="2" t="s">
        <v>363</v>
      </c>
      <c r="L10" s="2" t="s">
        <v>366</v>
      </c>
      <c r="M10" s="2" t="s">
        <v>369</v>
      </c>
      <c r="N10" s="2" t="s">
        <v>372</v>
      </c>
      <c r="O10" s="2" t="s">
        <v>376</v>
      </c>
      <c r="P10" s="2"/>
    </row>
    <row r="11" ht="91.5" customHeight="1">
      <c r="A11" s="2">
        <v>9.0</v>
      </c>
      <c r="B11" s="2" t="s">
        <v>382</v>
      </c>
      <c r="C11" s="2" t="s">
        <v>383</v>
      </c>
      <c r="D11" s="2" t="s">
        <v>385</v>
      </c>
      <c r="E11" s="2" t="s">
        <v>386</v>
      </c>
      <c r="F11" s="2" t="s">
        <v>388</v>
      </c>
      <c r="G11" s="2" t="s">
        <v>391</v>
      </c>
      <c r="H11" s="2" t="s">
        <v>393</v>
      </c>
      <c r="I11" s="2" t="s">
        <v>396</v>
      </c>
      <c r="J11" s="2" t="s">
        <v>399</v>
      </c>
      <c r="K11" s="2" t="s">
        <v>403</v>
      </c>
      <c r="L11" s="2" t="s">
        <v>406</v>
      </c>
      <c r="M11" s="2" t="s">
        <v>409</v>
      </c>
      <c r="N11" s="2" t="s">
        <v>410</v>
      </c>
      <c r="O11" s="2" t="s">
        <v>411</v>
      </c>
      <c r="P11" s="2"/>
    </row>
    <row r="12" ht="91.5" customHeight="1">
      <c r="A12" s="2">
        <v>10.0</v>
      </c>
      <c r="B12" s="2" t="s">
        <v>416</v>
      </c>
      <c r="C12" s="2" t="s">
        <v>417</v>
      </c>
      <c r="D12" s="2" t="s">
        <v>420</v>
      </c>
      <c r="E12" s="2" t="s">
        <v>423</v>
      </c>
      <c r="F12" s="2" t="s">
        <v>424</v>
      </c>
      <c r="G12" s="2" t="s">
        <v>426</v>
      </c>
      <c r="H12" s="2" t="s">
        <v>429</v>
      </c>
      <c r="I12" s="2" t="s">
        <v>433</v>
      </c>
      <c r="J12" s="2" t="s">
        <v>435</v>
      </c>
      <c r="K12" s="2" t="s">
        <v>438</v>
      </c>
      <c r="L12" s="2" t="s">
        <v>440</v>
      </c>
      <c r="M12" s="2" t="s">
        <v>443</v>
      </c>
      <c r="N12" s="2" t="s">
        <v>447</v>
      </c>
      <c r="O12" s="2" t="s">
        <v>449</v>
      </c>
      <c r="P12" s="2"/>
    </row>
    <row r="13" ht="91.5" customHeight="1">
      <c r="A13" s="2">
        <v>11.0</v>
      </c>
      <c r="B13" s="2" t="s">
        <v>455</v>
      </c>
      <c r="C13" s="2" t="s">
        <v>458</v>
      </c>
      <c r="D13" s="2" t="s">
        <v>460</v>
      </c>
      <c r="E13" s="2" t="s">
        <v>461</v>
      </c>
      <c r="F13" s="2" t="s">
        <v>462</v>
      </c>
      <c r="G13" s="2" t="s">
        <v>463</v>
      </c>
      <c r="H13" s="2" t="s">
        <v>464</v>
      </c>
      <c r="I13" s="2" t="s">
        <v>466</v>
      </c>
      <c r="J13" s="2" t="s">
        <v>468</v>
      </c>
      <c r="K13" s="2" t="s">
        <v>470</v>
      </c>
      <c r="L13" s="2" t="s">
        <v>471</v>
      </c>
      <c r="M13" s="2" t="s">
        <v>473</v>
      </c>
      <c r="N13" s="2" t="s">
        <v>475</v>
      </c>
      <c r="O13" s="2" t="s">
        <v>476</v>
      </c>
      <c r="P13" s="2"/>
    </row>
    <row r="14" ht="91.5" customHeight="1">
      <c r="A14" s="2">
        <v>12.0</v>
      </c>
      <c r="B14" s="2" t="s">
        <v>477</v>
      </c>
      <c r="C14" s="2" t="s">
        <v>478</v>
      </c>
      <c r="D14" s="2" t="s">
        <v>479</v>
      </c>
      <c r="E14" s="2" t="s">
        <v>480</v>
      </c>
      <c r="F14" s="2" t="s">
        <v>481</v>
      </c>
      <c r="G14" s="2" t="s">
        <v>482</v>
      </c>
      <c r="H14" s="2" t="s">
        <v>483</v>
      </c>
      <c r="I14" s="2" t="s">
        <v>274</v>
      </c>
      <c r="J14" s="2" t="s">
        <v>484</v>
      </c>
      <c r="K14" s="2" t="s">
        <v>486</v>
      </c>
      <c r="L14" s="2" t="s">
        <v>488</v>
      </c>
      <c r="M14" s="2" t="s">
        <v>490</v>
      </c>
      <c r="N14" s="2" t="s">
        <v>492</v>
      </c>
      <c r="O14" s="2" t="s">
        <v>493</v>
      </c>
      <c r="P14" s="2"/>
    </row>
    <row r="15" ht="91.5" customHeight="1">
      <c r="A15" s="2">
        <v>13.0</v>
      </c>
      <c r="B15" s="2" t="s">
        <v>494</v>
      </c>
      <c r="C15" s="2" t="s">
        <v>495</v>
      </c>
      <c r="D15" s="2" t="s">
        <v>496</v>
      </c>
      <c r="E15" s="2" t="s">
        <v>497</v>
      </c>
      <c r="F15" s="2" t="s">
        <v>498</v>
      </c>
      <c r="G15" s="2" t="s">
        <v>499</v>
      </c>
      <c r="H15" s="2" t="s">
        <v>500</v>
      </c>
      <c r="I15" s="2" t="s">
        <v>501</v>
      </c>
      <c r="J15" s="2" t="s">
        <v>503</v>
      </c>
      <c r="K15" s="2" t="s">
        <v>505</v>
      </c>
      <c r="L15" s="2" t="s">
        <v>506</v>
      </c>
      <c r="M15" s="2" t="s">
        <v>508</v>
      </c>
      <c r="N15" s="2" t="s">
        <v>509</v>
      </c>
      <c r="O15" s="2" t="s">
        <v>510</v>
      </c>
      <c r="P15" s="2"/>
    </row>
    <row r="16" ht="91.5" customHeight="1">
      <c r="A16" s="2">
        <v>14.0</v>
      </c>
      <c r="B16" s="2" t="s">
        <v>511</v>
      </c>
      <c r="C16" s="2" t="s">
        <v>512</v>
      </c>
      <c r="D16" s="2" t="s">
        <v>513</v>
      </c>
      <c r="E16" s="2" t="s">
        <v>514</v>
      </c>
      <c r="F16" s="2" t="s">
        <v>515</v>
      </c>
      <c r="G16" s="2" t="s">
        <v>516</v>
      </c>
      <c r="H16" s="2" t="s">
        <v>517</v>
      </c>
      <c r="I16" s="2" t="s">
        <v>518</v>
      </c>
      <c r="J16" s="2" t="s">
        <v>520</v>
      </c>
      <c r="K16" s="2" t="s">
        <v>522</v>
      </c>
      <c r="L16" s="2" t="s">
        <v>524</v>
      </c>
      <c r="M16" s="2" t="s">
        <v>525</v>
      </c>
      <c r="N16" s="2" t="s">
        <v>527</v>
      </c>
      <c r="O16" s="2" t="s">
        <v>528</v>
      </c>
      <c r="P16" s="2"/>
    </row>
    <row r="17" ht="91.5" customHeight="1">
      <c r="A17" s="2">
        <v>15.0</v>
      </c>
      <c r="B17" s="2" t="s">
        <v>529</v>
      </c>
      <c r="C17" s="2" t="s">
        <v>530</v>
      </c>
      <c r="D17" s="2" t="s">
        <v>531</v>
      </c>
      <c r="E17" s="2" t="s">
        <v>532</v>
      </c>
      <c r="F17" s="2" t="s">
        <v>533</v>
      </c>
      <c r="G17" s="2" t="s">
        <v>534</v>
      </c>
      <c r="H17" s="2" t="s">
        <v>535</v>
      </c>
      <c r="I17" s="2" t="s">
        <v>130</v>
      </c>
      <c r="J17" s="2" t="s">
        <v>537</v>
      </c>
      <c r="K17" s="2" t="s">
        <v>539</v>
      </c>
      <c r="L17" s="2" t="s">
        <v>541</v>
      </c>
      <c r="M17" s="2" t="s">
        <v>542</v>
      </c>
      <c r="N17" s="2" t="s">
        <v>544</v>
      </c>
      <c r="O17" s="2" t="s">
        <v>546</v>
      </c>
      <c r="P17" s="2"/>
    </row>
    <row r="18" ht="91.5" customHeight="1">
      <c r="A18" s="2">
        <v>16.0</v>
      </c>
      <c r="B18" s="2" t="s">
        <v>548</v>
      </c>
      <c r="C18" s="2" t="s">
        <v>549</v>
      </c>
      <c r="D18" s="2" t="s">
        <v>550</v>
      </c>
      <c r="E18" s="2" t="s">
        <v>551</v>
      </c>
      <c r="F18" s="2" t="s">
        <v>552</v>
      </c>
      <c r="G18" s="2" t="s">
        <v>553</v>
      </c>
      <c r="H18" s="2" t="s">
        <v>554</v>
      </c>
      <c r="I18" s="2" t="s">
        <v>555</v>
      </c>
      <c r="J18" s="2" t="s">
        <v>556</v>
      </c>
      <c r="K18" s="2" t="s">
        <v>558</v>
      </c>
      <c r="L18" s="2" t="s">
        <v>560</v>
      </c>
      <c r="M18" s="2" t="s">
        <v>562</v>
      </c>
      <c r="N18" s="2" t="s">
        <v>564</v>
      </c>
      <c r="O18" s="2"/>
      <c r="P18" s="2"/>
    </row>
    <row r="19" ht="91.5" customHeight="1">
      <c r="A19" s="2">
        <v>17.0</v>
      </c>
      <c r="B19" s="2" t="s">
        <v>566</v>
      </c>
      <c r="C19" s="2" t="s">
        <v>567</v>
      </c>
      <c r="D19" s="2" t="s">
        <v>568</v>
      </c>
      <c r="E19" s="2" t="s">
        <v>569</v>
      </c>
      <c r="F19" s="2" t="s">
        <v>570</v>
      </c>
      <c r="G19" s="2" t="s">
        <v>571</v>
      </c>
      <c r="H19" s="2" t="s">
        <v>572</v>
      </c>
      <c r="I19" s="2" t="s">
        <v>573</v>
      </c>
      <c r="J19" s="2" t="s">
        <v>574</v>
      </c>
      <c r="K19" s="2" t="s">
        <v>575</v>
      </c>
      <c r="L19" s="2" t="s">
        <v>576</v>
      </c>
      <c r="M19" s="2" t="s">
        <v>577</v>
      </c>
      <c r="N19" s="2" t="s">
        <v>578</v>
      </c>
      <c r="O19" s="2" t="s">
        <v>580</v>
      </c>
      <c r="P19" s="2"/>
    </row>
    <row r="20" ht="91.5" customHeight="1">
      <c r="A20" s="2">
        <v>18.0</v>
      </c>
      <c r="B20" s="2" t="s">
        <v>583</v>
      </c>
      <c r="C20" s="2" t="s">
        <v>584</v>
      </c>
      <c r="D20" s="2" t="s">
        <v>585</v>
      </c>
      <c r="E20" s="2" t="s">
        <v>586</v>
      </c>
      <c r="F20" s="2" t="s">
        <v>588</v>
      </c>
      <c r="G20" s="2" t="s">
        <v>589</v>
      </c>
      <c r="H20" s="2" t="s">
        <v>590</v>
      </c>
      <c r="I20" s="2" t="s">
        <v>274</v>
      </c>
      <c r="J20" s="2" t="s">
        <v>591</v>
      </c>
      <c r="K20" s="2" t="s">
        <v>592</v>
      </c>
      <c r="L20" s="2" t="s">
        <v>593</v>
      </c>
      <c r="M20" s="2" t="s">
        <v>594</v>
      </c>
      <c r="N20" s="2" t="s">
        <v>595</v>
      </c>
      <c r="O20" s="2" t="s">
        <v>596</v>
      </c>
      <c r="P20" s="2"/>
    </row>
    <row r="21" ht="91.5" customHeight="1">
      <c r="A21" s="2">
        <v>19.0</v>
      </c>
      <c r="B21" s="2" t="s">
        <v>597</v>
      </c>
      <c r="C21" s="2" t="s">
        <v>599</v>
      </c>
      <c r="D21" s="2" t="s">
        <v>600</v>
      </c>
      <c r="E21" s="2" t="s">
        <v>602</v>
      </c>
      <c r="F21" s="2" t="s">
        <v>604</v>
      </c>
      <c r="G21" s="2" t="s">
        <v>606</v>
      </c>
      <c r="H21" s="2" t="s">
        <v>607</v>
      </c>
      <c r="I21" s="2" t="s">
        <v>319</v>
      </c>
      <c r="J21" s="2" t="s">
        <v>609</v>
      </c>
      <c r="K21" s="2" t="s">
        <v>610</v>
      </c>
      <c r="L21" s="2" t="s">
        <v>611</v>
      </c>
      <c r="M21" s="2" t="s">
        <v>612</v>
      </c>
      <c r="N21" s="2" t="s">
        <v>613</v>
      </c>
      <c r="O21" s="2" t="s">
        <v>614</v>
      </c>
      <c r="P21" s="2"/>
    </row>
    <row r="22" ht="91.5" customHeight="1">
      <c r="A22" s="2">
        <v>20.0</v>
      </c>
      <c r="B22" s="2" t="s">
        <v>615</v>
      </c>
      <c r="C22" s="2" t="s">
        <v>616</v>
      </c>
      <c r="D22" s="2" t="s">
        <v>617</v>
      </c>
      <c r="E22" s="2" t="s">
        <v>618</v>
      </c>
      <c r="F22" s="2" t="s">
        <v>620</v>
      </c>
      <c r="G22" s="2" t="s">
        <v>621</v>
      </c>
      <c r="H22" s="2" t="s">
        <v>623</v>
      </c>
      <c r="I22" s="2" t="s">
        <v>625</v>
      </c>
      <c r="J22" s="2" t="s">
        <v>627</v>
      </c>
      <c r="K22" s="2" t="s">
        <v>628</v>
      </c>
      <c r="L22" s="2" t="s">
        <v>593</v>
      </c>
      <c r="M22" s="2" t="s">
        <v>630</v>
      </c>
      <c r="N22" s="2" t="s">
        <v>631</v>
      </c>
      <c r="O22" s="2" t="s">
        <v>632</v>
      </c>
      <c r="P22" s="2"/>
    </row>
    <row r="23" ht="91.5" customHeight="1">
      <c r="A23" s="2">
        <v>21.0</v>
      </c>
      <c r="B23" s="2" t="s">
        <v>633</v>
      </c>
      <c r="C23" s="2" t="s">
        <v>634</v>
      </c>
      <c r="D23" s="2" t="s">
        <v>635</v>
      </c>
      <c r="E23" s="2" t="s">
        <v>636</v>
      </c>
      <c r="F23" s="2" t="s">
        <v>637</v>
      </c>
      <c r="G23" s="2" t="s">
        <v>638</v>
      </c>
      <c r="H23" s="2" t="s">
        <v>639</v>
      </c>
      <c r="I23" s="2" t="s">
        <v>641</v>
      </c>
      <c r="J23" s="2" t="s">
        <v>642</v>
      </c>
      <c r="K23" s="2" t="s">
        <v>644</v>
      </c>
      <c r="L23" s="2" t="s">
        <v>646</v>
      </c>
      <c r="M23" s="2" t="s">
        <v>647</v>
      </c>
      <c r="N23" s="2" t="s">
        <v>648</v>
      </c>
      <c r="O23" s="2" t="s">
        <v>649</v>
      </c>
      <c r="P23" s="2"/>
    </row>
    <row r="24" ht="91.5" customHeight="1">
      <c r="A24" s="2">
        <v>22.0</v>
      </c>
      <c r="B24" s="2" t="s">
        <v>651</v>
      </c>
      <c r="C24" s="2" t="s">
        <v>652</v>
      </c>
      <c r="D24" s="2" t="s">
        <v>653</v>
      </c>
      <c r="E24" s="2" t="s">
        <v>654</v>
      </c>
      <c r="F24" s="2" t="s">
        <v>655</v>
      </c>
      <c r="G24" s="2" t="s">
        <v>656</v>
      </c>
      <c r="H24" s="2" t="s">
        <v>657</v>
      </c>
      <c r="I24" s="2" t="s">
        <v>201</v>
      </c>
      <c r="J24" s="2" t="s">
        <v>658</v>
      </c>
      <c r="K24" s="2" t="s">
        <v>659</v>
      </c>
      <c r="L24" s="2" t="s">
        <v>661</v>
      </c>
      <c r="M24" s="2" t="s">
        <v>663</v>
      </c>
      <c r="N24" s="2" t="s">
        <v>665</v>
      </c>
      <c r="O24" s="2" t="s">
        <v>667</v>
      </c>
      <c r="P24" s="2"/>
    </row>
    <row r="25" ht="91.5" customHeight="1">
      <c r="A25" s="2">
        <v>23.0</v>
      </c>
      <c r="B25" s="2" t="s">
        <v>671</v>
      </c>
      <c r="C25" s="2" t="s">
        <v>672</v>
      </c>
      <c r="D25" s="2" t="s">
        <v>673</v>
      </c>
      <c r="E25" s="2" t="s">
        <v>674</v>
      </c>
      <c r="F25" s="2" t="s">
        <v>675</v>
      </c>
      <c r="G25" s="2" t="s">
        <v>676</v>
      </c>
      <c r="H25" s="2" t="s">
        <v>677</v>
      </c>
      <c r="I25" s="2" t="s">
        <v>679</v>
      </c>
      <c r="J25" s="2" t="s">
        <v>681</v>
      </c>
      <c r="K25" s="2" t="s">
        <v>683</v>
      </c>
      <c r="L25" s="2" t="s">
        <v>685</v>
      </c>
      <c r="M25" s="2" t="s">
        <v>687</v>
      </c>
      <c r="N25" s="2" t="s">
        <v>689</v>
      </c>
      <c r="O25" s="2" t="s">
        <v>691</v>
      </c>
      <c r="P25" s="2"/>
    </row>
    <row r="26" ht="91.5" customHeight="1">
      <c r="A26" s="2">
        <v>24.0</v>
      </c>
      <c r="B26" s="2" t="s">
        <v>693</v>
      </c>
      <c r="C26" s="2" t="s">
        <v>694</v>
      </c>
      <c r="D26" s="2" t="s">
        <v>695</v>
      </c>
      <c r="E26" s="2" t="s">
        <v>696</v>
      </c>
      <c r="F26" s="2" t="s">
        <v>697</v>
      </c>
      <c r="G26" s="2" t="s">
        <v>699</v>
      </c>
      <c r="H26" s="2" t="s">
        <v>701</v>
      </c>
      <c r="I26" s="2" t="s">
        <v>703</v>
      </c>
      <c r="J26" s="2" t="s">
        <v>705</v>
      </c>
      <c r="K26" s="2" t="s">
        <v>707</v>
      </c>
      <c r="L26" s="2" t="s">
        <v>708</v>
      </c>
      <c r="M26" s="2" t="s">
        <v>709</v>
      </c>
      <c r="N26" s="2" t="s">
        <v>711</v>
      </c>
      <c r="O26" s="2" t="s">
        <v>712</v>
      </c>
      <c r="P26" s="2"/>
    </row>
    <row r="27" ht="91.5" customHeight="1">
      <c r="A27" s="2">
        <v>25.0</v>
      </c>
      <c r="B27" s="2" t="s">
        <v>713</v>
      </c>
      <c r="C27" s="2" t="s">
        <v>714</v>
      </c>
      <c r="D27" s="2" t="s">
        <v>715</v>
      </c>
      <c r="E27" s="2" t="s">
        <v>716</v>
      </c>
      <c r="F27" s="2" t="s">
        <v>718</v>
      </c>
      <c r="G27" s="2" t="s">
        <v>720</v>
      </c>
      <c r="H27" s="2" t="s">
        <v>722</v>
      </c>
      <c r="I27" s="2" t="s">
        <v>724</v>
      </c>
      <c r="J27" s="2" t="s">
        <v>726</v>
      </c>
      <c r="K27" s="2" t="s">
        <v>728</v>
      </c>
      <c r="L27" s="2" t="s">
        <v>730</v>
      </c>
      <c r="M27" s="2" t="s">
        <v>732</v>
      </c>
      <c r="N27" s="2" t="s">
        <v>733</v>
      </c>
      <c r="O27" s="2" t="s">
        <v>734</v>
      </c>
      <c r="P27" s="2"/>
    </row>
    <row r="28" ht="91.5" customHeight="1">
      <c r="A28" s="2">
        <v>26.0</v>
      </c>
      <c r="B28" s="2" t="s">
        <v>735</v>
      </c>
      <c r="C28" s="2" t="s">
        <v>737</v>
      </c>
      <c r="D28" s="2" t="s">
        <v>739</v>
      </c>
      <c r="E28" s="2" t="s">
        <v>741</v>
      </c>
      <c r="F28" s="2" t="s">
        <v>743</v>
      </c>
      <c r="G28" s="2" t="s">
        <v>745</v>
      </c>
      <c r="H28" s="2" t="s">
        <v>590</v>
      </c>
      <c r="I28" s="2" t="s">
        <v>747</v>
      </c>
      <c r="J28" s="2" t="s">
        <v>750</v>
      </c>
      <c r="K28" s="2" t="s">
        <v>751</v>
      </c>
      <c r="L28" s="2" t="s">
        <v>752</v>
      </c>
      <c r="M28" s="2" t="s">
        <v>753</v>
      </c>
      <c r="N28" s="2" t="s">
        <v>754</v>
      </c>
      <c r="O28" s="2" t="s">
        <v>755</v>
      </c>
      <c r="P28" s="2"/>
    </row>
    <row r="29" ht="91.5" customHeight="1">
      <c r="A29" s="2">
        <v>27.0</v>
      </c>
      <c r="B29" s="2" t="s">
        <v>757</v>
      </c>
      <c r="C29" s="2" t="s">
        <v>759</v>
      </c>
      <c r="D29" s="2" t="s">
        <v>761</v>
      </c>
      <c r="E29" s="2" t="s">
        <v>763</v>
      </c>
      <c r="F29" s="2" t="s">
        <v>764</v>
      </c>
      <c r="G29" s="2" t="s">
        <v>765</v>
      </c>
      <c r="H29" s="2" t="s">
        <v>767</v>
      </c>
      <c r="I29" s="2" t="s">
        <v>769</v>
      </c>
      <c r="J29" s="2" t="s">
        <v>770</v>
      </c>
      <c r="K29" s="2" t="s">
        <v>771</v>
      </c>
      <c r="L29" s="2" t="s">
        <v>772</v>
      </c>
      <c r="M29" s="2" t="s">
        <v>773</v>
      </c>
      <c r="N29" s="2" t="s">
        <v>774</v>
      </c>
      <c r="O29" s="2" t="s">
        <v>775</v>
      </c>
      <c r="P29" s="2"/>
    </row>
    <row r="30" ht="91.5" customHeight="1">
      <c r="A30" s="2">
        <v>28.0</v>
      </c>
      <c r="B30" s="2" t="s">
        <v>779</v>
      </c>
      <c r="C30" s="2" t="s">
        <v>780</v>
      </c>
      <c r="D30" s="2" t="s">
        <v>782</v>
      </c>
      <c r="E30" s="2" t="s">
        <v>783</v>
      </c>
      <c r="F30" s="2" t="s">
        <v>784</v>
      </c>
      <c r="G30" s="2" t="s">
        <v>785</v>
      </c>
      <c r="H30" s="2" t="s">
        <v>786</v>
      </c>
      <c r="I30" s="2" t="s">
        <v>641</v>
      </c>
      <c r="J30" s="2" t="s">
        <v>788</v>
      </c>
      <c r="K30" s="2" t="s">
        <v>789</v>
      </c>
      <c r="L30" s="2" t="s">
        <v>790</v>
      </c>
      <c r="M30" s="2" t="s">
        <v>791</v>
      </c>
      <c r="N30" s="2" t="s">
        <v>792</v>
      </c>
      <c r="O30" s="2" t="s">
        <v>793</v>
      </c>
      <c r="P30" s="2"/>
    </row>
    <row r="31" ht="91.5" customHeight="1">
      <c r="A31" s="2">
        <v>29.0</v>
      </c>
      <c r="B31" s="2" t="s">
        <v>211</v>
      </c>
      <c r="C31" s="2" t="s">
        <v>794</v>
      </c>
      <c r="D31" s="2" t="s">
        <v>795</v>
      </c>
      <c r="E31" s="2" t="s">
        <v>796</v>
      </c>
      <c r="F31" s="2" t="s">
        <v>798</v>
      </c>
      <c r="G31" s="2" t="s">
        <v>799</v>
      </c>
      <c r="H31" s="2" t="s">
        <v>801</v>
      </c>
      <c r="I31" s="2" t="s">
        <v>130</v>
      </c>
      <c r="J31" s="2" t="s">
        <v>805</v>
      </c>
      <c r="K31" s="2" t="s">
        <v>807</v>
      </c>
      <c r="L31" s="2" t="s">
        <v>808</v>
      </c>
      <c r="M31" s="2" t="s">
        <v>809</v>
      </c>
      <c r="N31" s="2" t="s">
        <v>810</v>
      </c>
      <c r="O31" s="2" t="s">
        <v>811</v>
      </c>
      <c r="P31" s="2"/>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0"/>
    <col customWidth="1" min="2" max="2" width="34.0"/>
    <col customWidth="1" min="3" max="3" width="42.0"/>
    <col customWidth="1" min="4" max="4" width="38.0"/>
    <col customWidth="1" min="5" max="5" width="40.0"/>
    <col customWidth="1" min="6" max="6" width="44.0"/>
    <col customWidth="1" min="7" max="7" width="42.0"/>
    <col customWidth="1" min="8" max="8" width="36.0"/>
    <col customWidth="1" min="9" max="26" width="8.63"/>
  </cols>
  <sheetData>
    <row r="1" ht="33.75" customHeight="1">
      <c r="A1" s="1" t="s">
        <v>1</v>
      </c>
      <c r="B1" s="1" t="s">
        <v>3</v>
      </c>
      <c r="C1" s="1" t="s">
        <v>6</v>
      </c>
      <c r="D1" s="1" t="s">
        <v>8</v>
      </c>
      <c r="E1" s="1" t="s">
        <v>11</v>
      </c>
      <c r="F1" s="1" t="s">
        <v>14</v>
      </c>
      <c r="G1" s="1" t="s">
        <v>17</v>
      </c>
      <c r="H1" s="1" t="s">
        <v>21</v>
      </c>
    </row>
    <row r="2" ht="84.0" customHeight="1">
      <c r="A2" s="2" t="s">
        <v>24</v>
      </c>
      <c r="B2" s="2" t="s">
        <v>28</v>
      </c>
      <c r="C2" s="2" t="s">
        <v>31</v>
      </c>
      <c r="D2" s="2" t="s">
        <v>34</v>
      </c>
      <c r="E2" s="2" t="s">
        <v>37</v>
      </c>
      <c r="F2" s="2" t="s">
        <v>38</v>
      </c>
      <c r="G2" s="2" t="s">
        <v>40</v>
      </c>
      <c r="H2" s="2"/>
    </row>
    <row r="3" ht="84.0" customHeight="1">
      <c r="A3" s="2" t="s">
        <v>43</v>
      </c>
      <c r="B3" s="2" t="s">
        <v>45</v>
      </c>
      <c r="C3" s="2" t="s">
        <v>48</v>
      </c>
      <c r="D3" s="2" t="s">
        <v>50</v>
      </c>
      <c r="E3" s="2" t="s">
        <v>53</v>
      </c>
      <c r="F3" s="2" t="s">
        <v>55</v>
      </c>
      <c r="G3" s="2" t="s">
        <v>58</v>
      </c>
      <c r="H3" s="2"/>
    </row>
    <row r="4" ht="84.0" customHeight="1">
      <c r="A4" s="2" t="s">
        <v>62</v>
      </c>
      <c r="B4" s="2" t="s">
        <v>65</v>
      </c>
      <c r="C4" s="2" t="s">
        <v>67</v>
      </c>
      <c r="D4" s="2" t="s">
        <v>69</v>
      </c>
      <c r="E4" s="2" t="s">
        <v>71</v>
      </c>
      <c r="F4" s="2" t="s">
        <v>72</v>
      </c>
      <c r="G4" s="2" t="s">
        <v>75</v>
      </c>
      <c r="H4" s="2"/>
    </row>
    <row r="5" ht="84.0" customHeight="1">
      <c r="A5" s="2" t="s">
        <v>80</v>
      </c>
      <c r="B5" s="2" t="s">
        <v>83</v>
      </c>
      <c r="C5" s="2" t="s">
        <v>87</v>
      </c>
      <c r="D5" s="2" t="s">
        <v>89</v>
      </c>
      <c r="E5" s="2" t="s">
        <v>91</v>
      </c>
      <c r="F5" s="2" t="s">
        <v>93</v>
      </c>
      <c r="G5" s="2" t="s">
        <v>96</v>
      </c>
      <c r="H5" s="2"/>
    </row>
    <row r="6" ht="84.0" customHeight="1">
      <c r="A6" s="2" t="s">
        <v>99</v>
      </c>
      <c r="B6" s="2" t="s">
        <v>103</v>
      </c>
      <c r="C6" s="2" t="s">
        <v>105</v>
      </c>
      <c r="D6" s="2" t="s">
        <v>107</v>
      </c>
      <c r="E6" s="2" t="s">
        <v>109</v>
      </c>
      <c r="F6" s="2" t="s">
        <v>111</v>
      </c>
      <c r="G6" s="2" t="s">
        <v>114</v>
      </c>
      <c r="H6" s="2"/>
    </row>
    <row r="7" ht="84.0" customHeight="1">
      <c r="A7" s="2" t="s">
        <v>123</v>
      </c>
      <c r="B7" s="2" t="s">
        <v>128</v>
      </c>
      <c r="C7" s="2" t="s">
        <v>131</v>
      </c>
      <c r="D7" s="2" t="s">
        <v>134</v>
      </c>
      <c r="E7" s="2" t="s">
        <v>137</v>
      </c>
      <c r="F7" s="2" t="s">
        <v>145</v>
      </c>
      <c r="G7" s="2" t="s">
        <v>147</v>
      </c>
      <c r="H7" s="2"/>
    </row>
    <row r="8" ht="84.0" customHeight="1">
      <c r="A8" s="2" t="s">
        <v>169</v>
      </c>
      <c r="B8" s="2" t="s">
        <v>173</v>
      </c>
      <c r="C8" s="2" t="s">
        <v>178</v>
      </c>
      <c r="D8" s="2" t="s">
        <v>183</v>
      </c>
      <c r="E8" s="2" t="s">
        <v>188</v>
      </c>
      <c r="F8" s="2" t="s">
        <v>191</v>
      </c>
      <c r="G8" s="2" t="s">
        <v>196</v>
      </c>
      <c r="H8" s="2"/>
    </row>
    <row r="9" ht="84.0" customHeight="1">
      <c r="A9" s="2" t="s">
        <v>202</v>
      </c>
      <c r="B9" s="2" t="s">
        <v>209</v>
      </c>
      <c r="C9" s="2" t="s">
        <v>215</v>
      </c>
      <c r="D9" s="2" t="s">
        <v>218</v>
      </c>
      <c r="E9" s="2" t="s">
        <v>221</v>
      </c>
      <c r="F9" s="2" t="s">
        <v>223</v>
      </c>
      <c r="G9" s="2" t="s">
        <v>225</v>
      </c>
      <c r="H9" s="2"/>
    </row>
    <row r="10" ht="84.0" customHeight="1">
      <c r="A10" s="2" t="s">
        <v>227</v>
      </c>
      <c r="B10" s="2" t="s">
        <v>229</v>
      </c>
      <c r="C10" s="2" t="s">
        <v>231</v>
      </c>
      <c r="D10" s="2" t="s">
        <v>233</v>
      </c>
      <c r="E10" s="2" t="s">
        <v>236</v>
      </c>
      <c r="F10" s="2" t="s">
        <v>238</v>
      </c>
      <c r="G10" s="2" t="s">
        <v>242</v>
      </c>
      <c r="H10" s="2"/>
    </row>
    <row r="11" ht="84.0" customHeight="1">
      <c r="A11" s="2" t="s">
        <v>246</v>
      </c>
      <c r="B11" s="2" t="s">
        <v>249</v>
      </c>
      <c r="C11" s="2" t="s">
        <v>254</v>
      </c>
      <c r="D11" s="2" t="s">
        <v>257</v>
      </c>
      <c r="E11" s="2" t="s">
        <v>260</v>
      </c>
      <c r="F11" s="2" t="s">
        <v>261</v>
      </c>
      <c r="G11" s="2" t="s">
        <v>263</v>
      </c>
      <c r="H11" s="2"/>
    </row>
    <row r="12" ht="84.0" customHeight="1">
      <c r="A12" s="2" t="s">
        <v>266</v>
      </c>
      <c r="B12" s="2" t="s">
        <v>268</v>
      </c>
      <c r="C12" s="2" t="s">
        <v>271</v>
      </c>
      <c r="D12" s="2" t="s">
        <v>273</v>
      </c>
      <c r="E12" s="2" t="s">
        <v>275</v>
      </c>
      <c r="F12" s="2" t="s">
        <v>279</v>
      </c>
      <c r="G12" s="2" t="s">
        <v>282</v>
      </c>
      <c r="H1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38.0"/>
    <col customWidth="1" min="3" max="3" width="52.0"/>
    <col customWidth="1" min="4" max="4" width="48.0"/>
    <col customWidth="1" min="5" max="5" width="22.0"/>
    <col customWidth="1" min="6" max="6" width="18.0"/>
    <col customWidth="1" min="7" max="7" width="42.0"/>
    <col customWidth="1" min="8" max="26" width="8.63"/>
  </cols>
  <sheetData>
    <row r="1" ht="33.75" customHeight="1">
      <c r="A1" s="1" t="s">
        <v>315</v>
      </c>
      <c r="B1" s="1" t="s">
        <v>318</v>
      </c>
      <c r="C1" s="1" t="s">
        <v>321</v>
      </c>
      <c r="D1" s="1" t="s">
        <v>323</v>
      </c>
      <c r="E1" s="1" t="s">
        <v>325</v>
      </c>
      <c r="F1" s="1" t="s">
        <v>328</v>
      </c>
      <c r="G1" s="1" t="s">
        <v>330</v>
      </c>
    </row>
    <row r="2" ht="85.5" customHeight="1">
      <c r="A2" s="2" t="s">
        <v>332</v>
      </c>
      <c r="B2" s="2" t="s">
        <v>334</v>
      </c>
      <c r="C2" s="2" t="s">
        <v>337</v>
      </c>
      <c r="D2" s="2" t="s">
        <v>338</v>
      </c>
      <c r="E2" s="2" t="s">
        <v>339</v>
      </c>
      <c r="F2" s="14" t="s">
        <v>340</v>
      </c>
      <c r="G2" s="14" t="s">
        <v>342</v>
      </c>
    </row>
    <row r="3" ht="85.5" customHeight="1">
      <c r="A3" s="2" t="s">
        <v>332</v>
      </c>
      <c r="B3" s="2" t="s">
        <v>344</v>
      </c>
      <c r="C3" s="2" t="s">
        <v>346</v>
      </c>
      <c r="D3" s="2" t="s">
        <v>347</v>
      </c>
      <c r="E3" s="2" t="s">
        <v>349</v>
      </c>
      <c r="F3" s="14" t="s">
        <v>340</v>
      </c>
      <c r="G3" s="14" t="s">
        <v>351</v>
      </c>
    </row>
    <row r="4" ht="85.5" customHeight="1">
      <c r="A4" s="2" t="s">
        <v>332</v>
      </c>
      <c r="B4" s="2" t="s">
        <v>354</v>
      </c>
      <c r="C4" s="2" t="s">
        <v>357</v>
      </c>
      <c r="D4" s="2" t="s">
        <v>358</v>
      </c>
      <c r="E4" s="2" t="s">
        <v>361</v>
      </c>
      <c r="F4" s="14" t="s">
        <v>340</v>
      </c>
      <c r="G4" s="14" t="s">
        <v>364</v>
      </c>
    </row>
    <row r="5" ht="85.5" customHeight="1">
      <c r="A5" s="2" t="s">
        <v>332</v>
      </c>
      <c r="B5" s="2" t="s">
        <v>367</v>
      </c>
      <c r="C5" s="2" t="s">
        <v>370</v>
      </c>
      <c r="D5" s="2" t="s">
        <v>371</v>
      </c>
      <c r="E5" s="2" t="s">
        <v>373</v>
      </c>
      <c r="F5" s="14" t="s">
        <v>375</v>
      </c>
      <c r="G5" s="14" t="s">
        <v>377</v>
      </c>
    </row>
    <row r="6" ht="85.5" customHeight="1">
      <c r="A6" s="2" t="s">
        <v>332</v>
      </c>
      <c r="B6" s="2" t="s">
        <v>378</v>
      </c>
      <c r="C6" s="2" t="s">
        <v>379</v>
      </c>
      <c r="D6" s="2" t="s">
        <v>380</v>
      </c>
      <c r="E6" s="2" t="s">
        <v>381</v>
      </c>
      <c r="F6" s="14" t="s">
        <v>104</v>
      </c>
      <c r="G6" s="14" t="s">
        <v>384</v>
      </c>
    </row>
    <row r="7" ht="85.5" customHeight="1">
      <c r="A7" s="2" t="s">
        <v>332</v>
      </c>
      <c r="B7" s="2" t="s">
        <v>387</v>
      </c>
      <c r="C7" s="2" t="s">
        <v>389</v>
      </c>
      <c r="D7" s="2" t="s">
        <v>390</v>
      </c>
      <c r="E7" s="2" t="s">
        <v>392</v>
      </c>
      <c r="F7" s="14" t="s">
        <v>340</v>
      </c>
      <c r="G7" s="14" t="s">
        <v>395</v>
      </c>
    </row>
    <row r="8" ht="85.5" customHeight="1">
      <c r="A8" s="2" t="s">
        <v>397</v>
      </c>
      <c r="B8" s="2" t="s">
        <v>400</v>
      </c>
      <c r="C8" s="2" t="s">
        <v>401</v>
      </c>
      <c r="D8" s="2" t="s">
        <v>404</v>
      </c>
      <c r="E8" s="2" t="s">
        <v>405</v>
      </c>
      <c r="F8" s="2" t="s">
        <v>375</v>
      </c>
      <c r="G8" s="14" t="s">
        <v>408</v>
      </c>
    </row>
    <row r="9" ht="85.5" customHeight="1">
      <c r="A9" s="2" t="s">
        <v>397</v>
      </c>
      <c r="B9" s="2" t="s">
        <v>412</v>
      </c>
      <c r="C9" s="2" t="s">
        <v>413</v>
      </c>
      <c r="D9" s="2" t="s">
        <v>414</v>
      </c>
      <c r="E9" s="2" t="s">
        <v>415</v>
      </c>
      <c r="F9" s="2" t="s">
        <v>375</v>
      </c>
      <c r="G9" s="2"/>
    </row>
    <row r="10" ht="85.5" customHeight="1">
      <c r="A10" s="2" t="s">
        <v>397</v>
      </c>
      <c r="B10" s="2" t="s">
        <v>418</v>
      </c>
      <c r="C10" s="2" t="s">
        <v>419</v>
      </c>
      <c r="D10" s="2" t="s">
        <v>421</v>
      </c>
      <c r="E10" s="2" t="s">
        <v>422</v>
      </c>
      <c r="F10" s="14" t="s">
        <v>104</v>
      </c>
      <c r="G10" s="14" t="s">
        <v>425</v>
      </c>
    </row>
    <row r="11" ht="85.5" customHeight="1">
      <c r="A11" s="2" t="s">
        <v>397</v>
      </c>
      <c r="B11" s="2" t="s">
        <v>427</v>
      </c>
      <c r="C11" s="2" t="s">
        <v>428</v>
      </c>
      <c r="D11" s="2" t="s">
        <v>430</v>
      </c>
      <c r="E11" s="2" t="s">
        <v>432</v>
      </c>
      <c r="F11" s="14" t="s">
        <v>104</v>
      </c>
      <c r="G11" s="14" t="s">
        <v>436</v>
      </c>
    </row>
    <row r="12" ht="85.5" customHeight="1">
      <c r="A12" s="2" t="s">
        <v>397</v>
      </c>
      <c r="B12" s="2" t="s">
        <v>442</v>
      </c>
      <c r="C12" s="2" t="s">
        <v>444</v>
      </c>
      <c r="D12" s="2" t="s">
        <v>446</v>
      </c>
      <c r="E12" s="2" t="s">
        <v>448</v>
      </c>
      <c r="F12" s="2" t="s">
        <v>450</v>
      </c>
      <c r="G12" s="14" t="s">
        <v>451</v>
      </c>
    </row>
    <row r="13" ht="85.5" customHeight="1">
      <c r="A13" s="2" t="s">
        <v>452</v>
      </c>
      <c r="B13" s="2" t="s">
        <v>453</v>
      </c>
      <c r="C13" s="2" t="s">
        <v>454</v>
      </c>
      <c r="D13" s="2" t="s">
        <v>456</v>
      </c>
      <c r="E13" s="2" t="s">
        <v>457</v>
      </c>
      <c r="F13" s="2" t="s">
        <v>340</v>
      </c>
      <c r="G13" s="14" t="s">
        <v>459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13">
    <cfRule type="expression" dxfId="5" priority="1">
      <formula>A2="P0"</formula>
    </cfRule>
  </conditionalFormatting>
  <conditionalFormatting sqref="A2:A13">
    <cfRule type="expression" dxfId="6" priority="2">
      <formula>A2="P1"</formula>
    </cfRule>
  </conditionalFormatting>
  <conditionalFormatting sqref="A2:A13">
    <cfRule type="expression" dxfId="7" priority="3">
      <formula>A2="P2"</formula>
    </cfRule>
  </conditionalFormatting>
  <conditionalFormatting sqref="F2:F13">
    <cfRule type="expression" dxfId="8" priority="4">
      <formula>F2="Needs Decision"</formula>
    </cfRule>
  </conditionalFormatting>
  <dataValidations>
    <dataValidation type="list" allowBlank="1" sqref="F2:F13">
      <formula1>"Open,Needs Decision,Recommended,Locked,Revisit"</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2026-08-25T12:33:01Z</dcterms:created>
</cp:coreProperties>
</file>