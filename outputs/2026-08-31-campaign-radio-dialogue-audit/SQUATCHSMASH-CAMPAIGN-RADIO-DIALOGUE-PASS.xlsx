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29c7d750c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490d5c2b2864e4b"/>
    <x:sheet xmlns:r="http://schemas.openxmlformats.org/officeDocument/2006/relationships" name="Campaign Spine" sheetId="2" r:id="Rb705a481cc2746a4"/>
    <x:sheet xmlns:r="http://schemas.openxmlformats.org/officeDocument/2006/relationships" name="Radio by Scene" sheetId="3" r:id="Rcbe5bcde7e0b4e97"/>
    <x:sheet xmlns:r="http://schemas.openxmlformats.org/officeDocument/2006/relationships" name="Live Radio Manifest" sheetId="4" r:id="R64ccbc1956d14502"/>
    <x:sheet xmlns:r="http://schemas.openxmlformats.org/officeDocument/2006/relationships" name="First 5 Minutes" sheetId="5" r:id="Rc2761fb54eba4b66"/>
    <x:sheet xmlns:r="http://schemas.openxmlformats.org/officeDocument/2006/relationships" name="Songs &amp; Scores" sheetId="6" r:id="R07b5b94752da44fc"/>
    <x:sheet xmlns:r="http://schemas.openxmlformats.org/officeDocument/2006/relationships" name="Dialogue Findings" sheetId="7" r:id="R983ccacd340d439b"/>
    <x:sheet xmlns:r="http://schemas.openxmlformats.org/officeDocument/2006/relationships" name="Voice Pickups" sheetId="8" r:id="R863e29e8a50643ea"/>
    <x:sheet xmlns:r="http://schemas.openxmlformats.org/officeDocument/2006/relationships" name="Test Gaps" sheetId="9" r:id="R964d83e51b784388"/>
    <x:sheet xmlns:r="http://schemas.openxmlformats.org/officeDocument/2006/relationships" name="Remediation" sheetId="10" r:id="Raa3aa99e188a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3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FFFFFF"/>
      <x:name val="Aptos"/>
    </x:font>
    <x:font>
      <x:b/>
      <x:sz val="9"/>
      <x:color rgb="FFFFFFFF"/>
      <x:name val="Aptos"/>
    </x:font>
    <x:font>
      <x:b/>
      <x:sz val="26"/>
      <x:color rgb="FF163F36"/>
      <x:name val="Aptos Display"/>
    </x:font>
    <x:font>
      <x:b/>
      <x:sz val="11"/>
      <x:color rgb="FFFFFFFF"/>
      <x:name val="Aptos"/>
    </x:font>
    <x:font>
      <x:sz val="11"/>
      <x:color rgb="FF19333A"/>
      <x:name val="Aptos"/>
    </x:font>
    <x:font>
      <x:b/>
      <x:sz val="10"/>
      <x:color rgb="FFFFFFFF"/>
      <x:name val="Aptos"/>
    </x:font>
    <x:font>
      <x:sz val="9"/>
      <x:color rgb="FF19333A"/>
      <x:name val="Aptos"/>
    </x:font>
    <x:font>
      <x:sz val="8"/>
      <x:color rgb="FF19333A"/>
      <x:name val="Aptos"/>
    </x:font>
    <x:font>
      <x:b/>
      <x:sz val="20"/>
      <x:color rgb="FFFFFFFF"/>
      <x:name val="Aptos"/>
    </x:font>
    <x:font>
      <x:sz val="11"/>
      <x:name val="Aptos"/>
    </x:font>
    <x:font>
      <x:b/>
      <x:sz val="26"/>
      <x:color rgb="FF163F36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63F36"/>
      </x:patternFill>
    </x:fill>
    <x:fill>
      <x:patternFill patternType="solid">
        <x:fgColor rgb="FF245D52"/>
      </x:patternFill>
    </x:fill>
    <x:fill>
      <x:patternFill patternType="solid">
        <x:fgColor rgb="FF0F766E"/>
      </x:patternFill>
    </x:fill>
    <x:fill>
      <x:patternFill patternType="solid">
        <x:fgColor rgb="FFE6F4EA"/>
      </x:patternFill>
    </x:fill>
    <x:fill>
      <x:patternFill patternType="solid">
        <x:fgColor rgb="FFFFF4CC"/>
      </x:patternFill>
    </x:fill>
    <x:fill>
      <x:patternFill patternType="solid">
        <x:fgColor rgb="FFEEE7F7"/>
      </x:patternFill>
    </x:fill>
    <x:fill>
      <x:patternFill patternType="solid">
        <x:fgColor rgb="FF4C2A78"/>
      </x:patternFill>
    </x:fill>
    <x:fill>
      <x:patternFill patternType="solid">
        <x:fgColor rgb="FFEAF4F7"/>
      </x:patternFill>
    </x:fill>
    <x:fill>
      <x:patternFill patternType="solid">
        <x:fgColor rgb="FFFFFFFF"/>
      </x:patternFill>
    </x:fill>
    <x:fill>
      <x:patternFill patternType="solid">
        <x:fgColor rgb="FF236E7A"/>
      </x:patternFill>
    </x:fill>
  </x:fills>
  <x:borders count="15">
    <x:border/>
    <x:border>
      <x:left style="thin">
        <x:color rgb="FF163F36"/>
      </x:left>
      <x:top style="thin">
        <x:color rgb="FF163F36"/>
      </x:top>
      <x:bottom style="thin">
        <x:color rgb="FF163F36"/>
      </x:bottom>
    </x:border>
    <x:border>
      <x:top style="thin">
        <x:color rgb="FF163F36"/>
      </x:top>
      <x:bottom style="thin">
        <x:color rgb="FF163F36"/>
      </x:bottom>
    </x:border>
    <x:border>
      <x:right style="thin">
        <x:color rgb="FF163F36"/>
      </x:right>
      <x:top style="thin">
        <x:color rgb="FF163F36"/>
      </x:top>
      <x:bottom style="thin">
        <x:color rgb="FF163F36"/>
      </x:bottom>
    </x:border>
    <x:border>
      <x:left style="thin">
        <x:color rgb="FFB7CDD2"/>
      </x:left>
      <x:top style="thin">
        <x:color rgb="FFB7CDD2"/>
      </x:top>
    </x:border>
    <x:border>
      <x:top style="thin">
        <x:color rgb="FFB7CDD2"/>
      </x:top>
    </x:border>
    <x:border>
      <x:right style="thin">
        <x:color rgb="FFB7CDD2"/>
      </x:right>
      <x:top style="thin">
        <x:color rgb="FFB7CDD2"/>
      </x:top>
    </x:border>
    <x:border>
      <x:left style="thin">
        <x:color rgb="FFB7CDD2"/>
      </x:left>
      <x:bottom style="thin">
        <x:color rgb="FFB7CDD2"/>
      </x:bottom>
    </x:border>
    <x:border>
      <x:bottom style="thin">
        <x:color rgb="FFB7CDD2"/>
      </x:bottom>
    </x:border>
    <x:border>
      <x:right style="thin">
        <x:color rgb="FFB7CDD2"/>
      </x:right>
      <x:bottom style="thin">
        <x:color rgb="FFB7CDD2"/>
      </x:bottom>
    </x:border>
    <x:border>
      <x:left style="thin">
        <x:color rgb="FFB7CDD2"/>
      </x:left>
    </x:border>
    <x:border>
      <x:right style="thin">
        <x:color rgb="FFB7CDD2"/>
      </x:right>
    </x:border>
    <x:border>
      <x:top style="thin">
        <x:color rgb="FFB7CDD2"/>
      </x:top>
      <x:bottom style="thin">
        <x:color rgb="FFB7CDD2"/>
      </x:bottom>
    </x:border>
    <x:border>
      <x:left style="thin">
        <x:color rgb="FFB7CDD2"/>
      </x:left>
      <x:right style="thin">
        <x:color rgb="FFB7CDD2"/>
      </x:right>
      <x:top style="thin">
        <x:color rgb="FFB7CDD2"/>
      </x:top>
      <x:bottom style="thin">
        <x:color rgb="FFB7CDD2"/>
      </x:bottom>
    </x:border>
    <x:border>
      <x:bottom style="medium">
        <x:color rgb="FF163F36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7" xfId="0" applyNumberFormat="1" applyFont="1" applyFill="1" applyBorder="1" applyAlignment="1">
      <x:alignment horizontal="center" vertic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4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4" xfId="0" applyNumberFormat="1" applyFont="1" applyFill="1" applyBorder="1"/>
    <x:xf numFmtId="0" fontId="6" fillId="9" borderId="5" xfId="0" applyNumberFormat="1" applyFont="1" applyFill="1" applyBorder="1"/>
    <x:xf numFmtId="0" fontId="6" fillId="9" borderId="6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9" xfId="0" applyNumberFormat="1" applyFont="1" applyFill="1" applyBorder="1"/>
    <x:xf numFmtId="0" fontId="6" fillId="9" borderId="4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 applyAlignment="1">
      <x:alignment wrapText="1"/>
    </x:xf>
    <x:xf numFmtId="0" fontId="6" fillId="9" borderId="1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6" fillId="9" borderId="4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6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1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8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12" xfId="0" applyNumberFormat="1" applyFont="1" applyFill="1" applyBorder="1"/>
    <x:xf numFmtId="0" fontId="8" fillId="0" borderId="5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10" borderId="8" xfId="0" applyNumberFormat="1" applyFont="1" applyFill="1" applyBorder="1" applyAlignment="1">
      <x:alignment vertical="top" wrapText="1"/>
    </x:xf>
    <x:xf numFmtId="0" fontId="8" fillId="9" borderId="12" xfId="0" applyNumberFormat="1" applyFont="1" applyFill="1" applyBorder="1" applyAlignment="1">
      <x:alignment vertical="top" wrapText="1"/>
    </x:xf>
    <x:xf numFmtId="0" fontId="8" fillId="10" borderId="12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/>
    <x:xf numFmtId="0" fontId="8" fillId="11" borderId="13" xfId="0" applyNumberFormat="1" applyFont="1" applyFill="1" applyBorder="1"/>
    <x:xf numFmtId="0" fontId="3" fillId="11" borderId="13" xfId="0" applyNumberFormat="1" applyFont="1" applyFill="1" applyBorder="1"/>
    <x:xf numFmtId="0" fontId="8" fillId="9" borderId="8" xfId="0" applyNumberFormat="1" applyFont="1" applyFill="1" applyBorder="1" applyAlignment="1">
      <x:alignment vertical="top" wrapText="1"/>
    </x:xf>
    <x:xf numFmtId="0" fontId="8" fillId="9" borderId="5" xfId="0" applyNumberFormat="1" applyFont="1" applyFill="1" applyBorder="1" applyAlignment="1">
      <x:alignment vertical="top" wrapText="1"/>
    </x:xf>
    <x:xf numFmtId="0" fontId="7" fillId="4" borderId="14" xfId="0" applyNumberFormat="1" applyFont="1" applyFill="1" applyBorder="1"/>
    <x:xf numFmtId="0" fontId="7" fillId="4" borderId="14" xfId="0" applyNumberFormat="1" applyFont="1" applyFill="1" applyBorder="1" applyAlignment="1">
      <x:alignment wrapText="1"/>
    </x:xf>
    <x:xf numFmtId="0" fontId="7" fillId="4" borderId="14" xfId="0" applyNumberFormat="1" applyFont="1" applyFill="1" applyBorder="1" applyAlignment="1">
      <x:alignment horizontal="left" wrapText="1"/>
    </x:xf>
    <x:xf numFmtId="0" fontId="7" fillId="4" borderId="14" xfId="0" applyNumberFormat="1" applyFont="1" applyFill="1" applyBorder="1" applyAlignment="1">
      <x:alignment horizontal="left" vertical="center" wrapText="1"/>
    </x:xf>
    <x:xf numFmtId="0" fontId="8" fillId="10" borderId="8" xfId="0" applyNumberFormat="1" applyFont="1" applyFill="1" applyBorder="1" applyAlignment="1">
      <x:alignment horizontal="center" vertical="top" wrapText="1"/>
    </x:xf>
    <x:xf numFmtId="0" fontId="8" fillId="9" borderId="12" xfId="0" applyNumberFormat="1" applyFont="1" applyFill="1" applyBorder="1" applyAlignment="1">
      <x:alignment horizontal="center" vertical="top" wrapText="1"/>
    </x:xf>
    <x:xf numFmtId="0" fontId="8" fillId="10" borderId="12" xfId="0" applyNumberFormat="1" applyFont="1" applyFill="1" applyBorder="1" applyAlignment="1">
      <x:alignment horizontal="center" vertical="top" wrapText="1"/>
    </x:xf>
    <x:xf numFmtId="0" fontId="8" fillId="10" borderId="5" xfId="0" applyNumberFormat="1" applyFont="1" applyFill="1" applyBorder="1" applyAlignment="1">
      <x:alignment horizontal="center" vertical="top" wrapText="1"/>
    </x:xf>
    <x:xf numFmtId="200" fontId="8" fillId="10" borderId="8" xfId="0" applyNumberFormat="1" applyFont="1" applyFill="1" applyBorder="1" applyAlignment="1">
      <x:alignment vertical="top" wrapText="1"/>
    </x:xf>
    <x:xf numFmtId="200" fontId="8" fillId="9" borderId="12" xfId="0" applyNumberFormat="1" applyFont="1" applyFill="1" applyBorder="1" applyAlignment="1">
      <x:alignment vertical="top" wrapText="1"/>
    </x:xf>
    <x:xf numFmtId="200" fontId="8" fillId="10" borderId="12" xfId="0" applyNumberFormat="1" applyFont="1" applyFill="1" applyBorder="1" applyAlignment="1">
      <x:alignment vertical="top" wrapText="1"/>
    </x:xf>
    <x:xf numFmtId="200" fontId="8" fillId="10" borderId="5" xfId="0" applyNumberFormat="1" applyFont="1" applyFill="1" applyBorder="1" applyAlignment="1">
      <x:alignment vertical="top" wrapText="1"/>
    </x:xf>
    <x:xf numFmtId="201" fontId="8" fillId="10" borderId="8" xfId="0" applyNumberFormat="1" applyFont="1" applyFill="1" applyBorder="1" applyAlignment="1">
      <x:alignment vertical="top" wrapText="1"/>
    </x:xf>
    <x:xf numFmtId="201" fontId="8" fillId="9" borderId="12" xfId="0" applyNumberFormat="1" applyFont="1" applyFill="1" applyBorder="1" applyAlignment="1">
      <x:alignment vertical="top" wrapText="1"/>
    </x:xf>
    <x:xf numFmtId="201" fontId="8" fillId="10" borderId="12" xfId="0" applyNumberFormat="1" applyFont="1" applyFill="1" applyBorder="1" applyAlignment="1">
      <x:alignment vertical="top" wrapText="1"/>
    </x:xf>
    <x:xf numFmtId="201" fontId="8" fillId="10" borderId="5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8" xfId="0" applyNumberFormat="1" applyFont="1" applyFill="1" applyBorder="1"/>
    <x:xf numFmtId="0" fontId="9" fillId="7" borderId="12" xfId="0" applyNumberFormat="1" applyFont="1" applyFill="1" applyBorder="1"/>
    <x:xf numFmtId="0" fontId="9" fillId="7" borderId="5" xfId="0" applyNumberFormat="1" applyFont="1" applyFill="1" applyBorder="1"/>
    <x:xf numFmtId="0" fontId="9" fillId="7" borderId="8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200" fontId="9" fillId="7" borderId="8" xfId="0" applyNumberFormat="1" applyFont="1" applyFill="1" applyBorder="1" applyAlignment="1">
      <x:alignment vertical="top" wrapText="1"/>
    </x:xf>
    <x:xf numFmtId="200" fontId="9" fillId="7" borderId="12" xfId="0" applyNumberFormat="1" applyFont="1" applyFill="1" applyBorder="1" applyAlignment="1">
      <x:alignment vertical="top" wrapText="1"/>
    </x:xf>
    <x:xf numFmtId="200" fontId="9" fillId="7" borderId="5" xfId="0" applyNumberFormat="1" applyFont="1" applyFill="1" applyBorder="1" applyAlignment="1">
      <x:alignment vertical="top" wrapText="1"/>
    </x:xf>
    <x:xf numFmtId="200" fontId="8" fillId="9" borderId="5" xfId="0" applyNumberFormat="1" applyFont="1" applyFill="1" applyBorder="1" applyAlignment="1">
      <x:alignment vertical="top" wrapText="1"/>
    </x:xf>
    <x:xf numFmtId="201" fontId="8" fillId="9" borderId="5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6" borderId="4" xfId="0" applyNumberFormat="1" applyFont="1" applyFill="1" applyBorder="1" applyAlignment="1">
      <x:alignment horizontal="center" vertical="center"/>
    </x:xf>
    <x:xf numFmtId="0" fontId="12" fillId="6" borderId="5" xfId="0" applyNumberFormat="1" applyFont="1" applyFill="1" applyBorder="1" applyAlignment="1">
      <x:alignment horizontal="center" vertical="center"/>
    </x:xf>
    <x:xf numFmtId="0" fontId="12" fillId="6" borderId="6" xfId="0" applyNumberFormat="1" applyFont="1" applyFill="1" applyBorder="1" applyAlignment="1">
      <x:alignment horizontal="center" vertical="center"/>
    </x:xf>
    <x:xf numFmtId="0" fontId="12" fillId="7" borderId="4" xfId="0" applyNumberFormat="1" applyFont="1" applyFill="1" applyBorder="1" applyAlignment="1">
      <x:alignment horizontal="center" vertical="center"/>
    </x:xf>
    <x:xf numFmtId="0" fontId="1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2" fillId="5" borderId="9" xfId="0" applyNumberFormat="1" applyFont="1" applyFill="1" applyBorder="1" applyAlignment="1">
      <x:alignment horizontal="center" vertical="center"/>
    </x:xf>
    <x:xf numFmtId="0" fontId="12" fillId="6" borderId="7" xfId="0" applyNumberFormat="1" applyFont="1" applyFill="1" applyBorder="1" applyAlignment="1">
      <x:alignment horizontal="center" vertical="center"/>
    </x:xf>
    <x:xf numFmtId="0" fontId="12" fillId="6" borderId="8" xfId="0" applyNumberFormat="1" applyFont="1" applyFill="1" applyBorder="1" applyAlignment="1">
      <x:alignment horizontal="center" vertical="center"/>
    </x:xf>
    <x:xf numFmtId="0" fontId="12" fillId="6" borderId="9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12" fillId="7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55"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9C1C1C"/>
      </x:font>
      <x:fill>
        <x:patternFill patternType="solid">
          <x:bgColor rgb="FFFDE7E7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E7C2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5D6D73"/>
      </x:font>
      <x:fill>
        <x:patternFill patternType="solid">
          <x:bgColor rgb="FFEEF2F3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  <x:dxf>
      <x:font>
        <x:b/>
        <x:color rgb="FF4C2A78"/>
      </x:font>
      <x:fill>
        <x:patternFill patternType="solid">
          <x:bgColor rgb="FFEEE7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d9640d373425f" /><Relationship Type="http://schemas.openxmlformats.org/officeDocument/2006/relationships/theme" Target="/xl/theme/theme1.xml" Id="R4578708eaba04a9d" /><Relationship Type="http://schemas.openxmlformats.org/officeDocument/2006/relationships/sharedStrings" Target="/xl/sharedStrings.xml" Id="R9cad7d3622544f7a" /><Relationship Type="http://schemas.openxmlformats.org/officeDocument/2006/relationships/worksheet" Target="/xl/worksheets/sheet1.xml" Id="Re490d5c2b2864e4b" /><Relationship Type="http://schemas.openxmlformats.org/officeDocument/2006/relationships/worksheet" Target="/xl/worksheets/sheet2.xml" Id="Rb705a481cc2746a4" /><Relationship Type="http://schemas.openxmlformats.org/officeDocument/2006/relationships/worksheet" Target="/xl/worksheets/sheet3.xml" Id="Rcbe5bcde7e0b4e97" /><Relationship Type="http://schemas.openxmlformats.org/officeDocument/2006/relationships/worksheet" Target="/xl/worksheets/sheet4.xml" Id="R64ccbc1956d14502" /><Relationship Type="http://schemas.openxmlformats.org/officeDocument/2006/relationships/worksheet" Target="/xl/worksheets/sheet5.xml" Id="Rc2761fb54eba4b66" /><Relationship Type="http://schemas.openxmlformats.org/officeDocument/2006/relationships/worksheet" Target="/xl/worksheets/sheet6.xml" Id="R07b5b94752da44fc" /><Relationship Type="http://schemas.openxmlformats.org/officeDocument/2006/relationships/worksheet" Target="/xl/worksheets/sheet7.xml" Id="R983ccacd340d439b" /><Relationship Type="http://schemas.openxmlformats.org/officeDocument/2006/relationships/worksheet" Target="/xl/worksheets/sheet8.xml" Id="R863e29e8a50643ea" /><Relationship Type="http://schemas.openxmlformats.org/officeDocument/2006/relationships/worksheet" Target="/xl/worksheets/sheet9.xml" Id="R964d83e51b784388" /><Relationship Type="http://schemas.openxmlformats.org/officeDocument/2006/relationships/worksheet" Target="/xl/worksheets/sheet10.xml" Id="Raa3aa99e188a40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a36635fc874c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Remediation Items by Priority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'Executive Summary'!$J$10:$J$13</c:f>
              <c:strCache>
                <c:ptCount val="0"/>
              </c:strCache>
            </c:strRef>
          </c:cat>
          <c:val>
            <c:numRef>
              <c:f>'Executive Summary'!$K$10:$K$13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a36635fc874c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ecutiveFindingsTable" displayName="ExecutiveFindingsTable" ref="A14:H19" headerRowCount="1" totalsRowCount="0" totalsRowShown="0">
  <x:tableColumns count="8">
    <x:tableColumn id="1" name="Priority"/>
    <x:tableColumn id="2" name="Finding"/>
    <x:tableColumn id="3" name="Why it matters"/>
    <x:tableColumn id="4" name="Current evidence"/>
    <x:tableColumn id="5" name="Owner decision"/>
    <x:tableColumn id="6" name="Next system move"/>
    <x:tableColumn id="7" name="Expected effect"/>
    <x:tableColumn id="8" name="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ecutiveOrderTable" displayName="ExecutiveOrderTable" ref="A21:H26" headerRowCount="1" totalsRowCount="0" totalsRowShown="0">
  <x:tableColumns count="8">
    <x:tableColumn id="1" name="Result"/>
    <x:tableColumn id="2" name="Change"/>
    <x:tableColumn id="3" name="Why it mattered"/>
    <x:tableColumn id="4" name="Dependency"/>
    <x:tableColumn id="5" name="Effort"/>
    <x:tableColumn id="6" name="Risk"/>
    <x:tableColumn id="7" name="Bug reduction"/>
    <x:tableColumn id="8" name="Workbook detai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mpaignSpineTable" displayName="CampaignSpineTable" ref="A4:M35" headerRowCount="1" totalsRowCount="0" totalsRowShown="0">
  <x:autoFilter ref="A4:M35"/>
  <x:tableColumns count="13">
    <x:tableColumn id="1" name="Beat"/>
    <x:tableColumn id="2" name="Chapter"/>
    <x:tableColumn id="3" name="Scene"/>
    <x:tableColumn id="4" name="Story function"/>
    <x:tableColumn id="5" name="Entry"/>
    <x:tableColumn id="6" name="Exit / next"/>
    <x:tableColumn id="7" name="Runtime connection"/>
    <x:tableColumn id="8" name="Status"/>
    <x:tableColumn id="9" name="Continuity risk"/>
    <x:tableColumn id="10" name="Highest-value refinement"/>
    <x:tableColumn id="11" name="Radio policy"/>
    <x:tableColumn id="12" name="Dialogue verdict"/>
    <x:tableColumn id="13" name="Evidenc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adioBySceneTable" displayName="RadioBySceneTable" ref="A4:N35" headerRowCount="1" totalsRowCount="0" totalsRowShown="0">
  <x:autoFilter ref="A4:N35"/>
  <x:tableColumns count="14">
    <x:tableColumn id="1" name="Beat"/>
    <x:tableColumn id="2" name="Scene"/>
    <x:tableColumn id="3" name="Receiver / source"/>
    <x:tableColumn id="4" name="Current power / entry"/>
    <x:tableColumn id="5" name="Current clock / show"/>
    <x:tableColumn id="6" name="Current order / behavior"/>
    <x:tableColumn id="7" name="Campaign news"/>
    <x:tableColumn id="8" name="Reachability"/>
    <x:tableColumn id="9" name="Current defect"/>
    <x:tableColumn id="10" name="Proposed program"/>
    <x:tableColumn id="11" name="Policy"/>
    <x:tableColumn id="12" name="Proposed ordered playback"/>
    <x:tableColumn id="13" name="Validation outcome"/>
    <x:tableColumn id="14" name="Evidenc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LiveRadioManifestTable" displayName="LiveRadioManifestTable" ref="A4:N251" headerRowCount="1" totalsRowCount="0" totalsRowShown="0">
  <x:autoFilter ref="A4:N251"/>
  <x:tableColumns count="14">
    <x:tableColumn id="1" name="Record type"/>
    <x:tableColumn id="2" name="Beat ID"/>
    <x:tableColumn id="3" name="Policy"/>
    <x:tableColumn id="4" name="Receiver ID"/>
    <x:tableColumn id="5" name="Campaign news"/>
    <x:tableColumn id="6" name="Program ID"/>
    <x:tableColumn id="7" name="Target seconds"/>
    <x:tableColumn id="8" name="Show hour"/>
    <x:tableColumn id="9" name="Order"/>
    <x:tableColumn id="10" name="Block ID"/>
    <x:tableColumn id="11" name="Block type"/>
    <x:tableColumn id="12" name="Content ID"/>
    <x:tableColumn id="13" name="Resume key"/>
    <x:tableColumn id="14" name="Evidenc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FirstFivePacketTable" displayName="FirstFivePacketTable" ref="A4:M95" headerRowCount="1" totalsRowCount="0" totalsRowShown="0">
  <x:autoFilter ref="A4:M95"/>
  <x:tableColumns count="13">
    <x:tableColumn id="1" name="Program"/>
    <x:tableColumn id="2" name="Beat"/>
    <x:tableColumn id="3" name="Scene / visit"/>
    <x:tableColumn id="4" name="Order"/>
    <x:tableColumn id="5" name="Start (s)"/>
    <x:tableColumn id="6" name="Duration (s)"/>
    <x:tableColumn id="7" name="End (s)"/>
    <x:tableColumn id="8" name="Policy"/>
    <x:tableColumn id="9" name="Block type"/>
    <x:tableColumn id="10" name="Content"/>
    <x:tableColumn id="11" name="Asset / cue ID"/>
    <x:tableColumn id="12" name="Source state"/>
    <x:tableColumn id="13" name="Note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ongsScoresTable" displayName="SongsScoresTable" ref="A4:J34" headerRowCount="1" totalsRowCount="0" totalsRowShown="0">
  <x:autoFilter ref="A4:J34"/>
  <x:tableColumns count="10">
    <x:tableColumn id="1" name="Category"/>
    <x:tableColumn id="2" name="Scene / receiver"/>
    <x:tableColumn id="3" name="Runtime key"/>
    <x:tableColumn id="4" name="Track"/>
    <x:tableColumn id="5" name="Asset"/>
    <x:tableColumn id="6" name="Duration (s)"/>
    <x:tableColumn id="7" name="Current playback"/>
    <x:tableColumn id="8" name="Proposed placement / order"/>
    <x:tableColumn id="9" name="Finding"/>
    <x:tableColumn id="10" name="Evidenc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DialogueFindingsTable" displayName="DialogueFindingsTable" ref="A4:G21" headerRowCount="1" totalsRowCount="0" totalsRowShown="0">
  <x:autoFilter ref="A4:G21"/>
  <x:tableColumns count="7">
    <x:tableColumn id="1" name="Scene"/>
    <x:tableColumn id="2" name="Verdict"/>
    <x:tableColumn id="3" name="What is strong"/>
    <x:tableColumn id="4" name="What is weak / mismatched"/>
    <x:tableColumn id="5" name="Direction"/>
    <x:tableColumn id="6" name="Priority"/>
    <x:tableColumn id="7" name="Evidence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VoicePickupsTable" displayName="VoicePickupsTable" ref="A4:G11" headerRowCount="1" totalsRowCount="0" totalsRowShown="0">
  <x:autoFilter ref="A4:G11"/>
  <x:tableColumns count="7">
    <x:tableColumn id="1" name="Cue ID"/>
    <x:tableColumn id="2" name="Scene"/>
    <x:tableColumn id="3" name="Character"/>
    <x:tableColumn id="4" name="Status"/>
    <x:tableColumn id="5" name="Campaign-critical"/>
    <x:tableColumn id="6" name="Required action"/>
    <x:tableColumn id="7" name="Evidenc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estGapsTable" displayName="TestGapsTable" ref="A4:G14" headerRowCount="1" totalsRowCount="0" totalsRowShown="0">
  <x:autoFilter ref="A4:G14"/>
  <x:tableColumns count="7">
    <x:tableColumn id="1" name="Gate"/>
    <x:tableColumn id="2" name="Protection now"/>
    <x:tableColumn id="3" name="Residual boundary"/>
    <x:tableColumn id="4" name="False-confidence risk now"/>
    <x:tableColumn id="5" name="Concrete evidence"/>
    <x:tableColumn id="6" name="Implemented semantic protection"/>
    <x:tableColumn id="7" name="Status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RemediationTable" displayName="RemediationTable" ref="A4:J24" headerRowCount="1" totalsRowCount="0" totalsRowShown="0">
  <x:autoFilter ref="A4:J24"/>
  <x:tableColumns count="10">
    <x:tableColumn id="1" name="Priority"/>
    <x:tableColumn id="2" name="Order"/>
    <x:tableColumn id="3" name="Recommendation"/>
    <x:tableColumn id="4" name="Effort"/>
    <x:tableColumn id="5" name="Risk"/>
    <x:tableColumn id="6" name="Expected bug reduction"/>
    <x:tableColumn id="7" name="Systems affected"/>
    <x:tableColumn id="8" name="Scenes affected"/>
    <x:tableColumn id="9" name="Dependencies"/>
    <x:tableColumn id="10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1e520ba4c041ed" /><Relationship Type="http://schemas.openxmlformats.org/officeDocument/2006/relationships/table" Target="/xl/tables/table1.xml" Id="R00d17dcf80a74b08" /><Relationship Type="http://schemas.openxmlformats.org/officeDocument/2006/relationships/table" Target="/xl/tables/table2.xml" Id="R9f33a232845e49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1f67f1f62264c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9bf44793aa0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57a0345cb0540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cf8b22de1254b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27df0728e18f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22349a16a6743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d7d03f949c9a4e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a03529cc4b8947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28befa4a74a4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36" hidden="0" customWidth="1"/>
    <x:col min="4" max="4" width="29" hidden="0" customWidth="1"/>
    <x:col min="5" max="5" width="12" hidden="0" customWidth="1"/>
    <x:col min="6" max="6" width="12" hidden="0" customWidth="1"/>
    <x:col min="7" max="7" width="15" hidden="0" customWidth="1"/>
    <x:col min="8" max="8" width="23" hidden="0" customWidth="1"/>
    <x:col min="9" max="9" width="3" hidden="0" customWidth="1"/>
    <x:col min="10" max="10" width="16" hidden="0" customWidth="1"/>
    <x:col min="11" max="11" width="12" hidden="0" customWidth="1"/>
    <x:col min="12" max="12" width="3" hidden="0" customWidth="1"/>
    <x:col min="13" max="13" width="3" hidden="0" customWidth="1"/>
  </x:cols>
  <x:sheetData>
    <x:row r="1" ht="32" customHeight="1">
      <x:c r="A1" s="136" t="str">
        <x:v>SQUATCH SMASH · CAMPAIGN / RADIO / DIALOGUE PASS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</x:row>
    <x:row r="2" ht="34" customHeight="1">
      <x:c r="A2" s="7" t="str">
        <x:v>Implementation snapshot: refreshed origin/main bf865565 + codex/campaign-radio-dialogue-audit-20260831 · Updated 2026-09-01 · Selected remediation includes runtime, media, and QA changes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</x:row>
    <x:row r="4">
      <x:c r="A4" s="16" t="str">
        <x:v>CAMPAIGN BEATS</x:v>
      </x:c>
      <x:c r="B4" s="17"/>
      <x:c r="C4" s="18"/>
      <x:c r="D4" s="16" t="str">
        <x:v>P0 CLOSED</x:v>
      </x:c>
      <x:c r="E4" s="17"/>
      <x:c r="F4" s="18"/>
      <x:c r="G4" s="16" t="str">
        <x:v>VOICE ITEMS OPEN</x:v>
      </x:c>
      <x:c r="H4" s="17"/>
      <x:c r="I4" s="18"/>
      <x:c r="J4" s="16" t="str">
        <x:v>LIVE ENTRY PROGRAMS</x:v>
      </x:c>
      <x:c r="K4" s="17"/>
      <x:c r="L4" s="18"/>
      <x:c r="M4" s="137"/>
    </x:row>
    <x:row r="5">
      <x:c r="A5" s="138" t="n">
        <x:f>COUNTA('Campaign Spine'!$A$5:$A$35)</x:f>
        <x:v>31</x:v>
      </x:c>
      <x:c r="B5" s="139"/>
      <x:c r="C5" s="140"/>
      <x:c r="D5" s="138" t="n">
        <x:f>COUNTIF('Remediation'!$J$5:$J$9,"DONE")</x:f>
        <x:v>5</x:v>
      </x:c>
      <x:c r="E5" s="139"/>
      <x:c r="F5" s="140"/>
      <x:c r="G5" s="141" t="n">
        <x:f>COUNTIF('Voice Pickups'!$D$5:$D$11,"MISSING")</x:f>
        <x:v>1</x:v>
      </x:c>
      <x:c r="H5" s="142"/>
      <x:c r="I5" s="143"/>
      <x:c r="J5" s="144" t="n">
        <x:f>COUNTIF('Live Radio Manifest'!$A$5:$A$300,"PROGRAM")</x:f>
        <x:v>13</x:v>
      </x:c>
      <x:c r="K5" s="145"/>
      <x:c r="L5" s="146"/>
      <x:c r="M5" s="137"/>
    </x:row>
    <x:row r="6">
      <x:c r="A6" s="147"/>
      <x:c r="B6" s="148"/>
      <x:c r="C6" s="149"/>
      <x:c r="D6" s="147"/>
      <x:c r="E6" s="148"/>
      <x:c r="F6" s="149"/>
      <x:c r="G6" s="150"/>
      <x:c r="H6" s="151"/>
      <x:c r="I6" s="152"/>
      <x:c r="J6" s="153"/>
      <x:c r="K6" s="154"/>
      <x:c r="L6" s="155"/>
      <x:c r="M6" s="137"/>
    </x:row>
    <x:row r="7">
      <x:c r="A7" s="137"/>
      <x:c r="B7" s="137"/>
      <x:c r="C7" s="137"/>
      <x:c r="D7" s="137"/>
      <x:c r="E7" s="137"/>
      <x:c r="F7" s="137"/>
      <x:c r="G7" s="137"/>
      <x:c r="H7" s="137"/>
      <x:c r="I7" s="137"/>
      <x:c r="J7" s="137"/>
      <x:c r="K7" s="137"/>
      <x:c r="L7" s="137"/>
      <x:c r="M7" s="137"/>
    </x:row>
    <x:row r="8">
      <x:c r="A8" s="52" t="str">
        <x:v>EXECUTIVE VERDICT</x:v>
      </x:c>
      <x:c r="B8" s="52"/>
      <x:c r="C8" s="52"/>
      <x:c r="D8" s="52"/>
      <x:c r="E8" s="52"/>
      <x:c r="F8" s="52"/>
      <x:c r="G8" s="52"/>
      <x:c r="H8" s="52"/>
      <x:c r="I8" s="137"/>
      <x:c r="J8" s="137"/>
      <x:c r="K8" s="137"/>
      <x:c r="L8" s="137"/>
      <x:c r="M8" s="137"/>
    </x:row>
    <x:row r="9">
      <x:c r="A9" s="72" t="str">
        <x:v>The selected remediation is implemented without a broad dialogue rewrite. Luxury now owns the complete Special Meeting home prelude; Initiation has slow positional stereo music, credits, durable completion, and a replay-anything portal; the radio has beat/receiver programs with resumable state and exact playback receipts; and all six campaign-critical Margo-call recordings are delivered. One optional post-campaign refusal line remains openly missing. Capability tracking deliberately keeps existing DEBT, KNOWN FAILURE, and UNKNOWN cells visible rather than converting a large test count into a claim that everything is perfect.</x:v>
      </x:c>
      <x:c r="B9" s="73"/>
      <x:c r="C9" s="73"/>
      <x:c r="D9" s="73"/>
      <x:c r="E9" s="73"/>
      <x:c r="F9" s="73"/>
      <x:c r="G9" s="73"/>
      <x:c r="H9" s="74"/>
      <x:c r="I9" s="137"/>
      <x:c r="J9" s="99" t="str">
        <x:v>Priority</x:v>
      </x:c>
      <x:c r="K9" s="99" t="str">
        <x:v>Items</x:v>
      </x:c>
      <x:c r="L9" s="137"/>
      <x:c r="M9" s="137"/>
    </x:row>
    <x:row r="10">
      <x:c r="A10" s="75"/>
      <x:c r="B10" s="76"/>
      <x:c r="C10" s="76"/>
      <x:c r="D10" s="76"/>
      <x:c r="E10" s="76"/>
      <x:c r="F10" s="76"/>
      <x:c r="G10" s="76"/>
      <x:c r="H10" s="77"/>
      <x:c r="I10" s="137"/>
      <x:c r="J10" s="97" t="str">
        <x:v>P0</x:v>
      </x:c>
      <x:c r="K10" s="97" t="n">
        <x:f>COUNTIF('Remediation'!$A$5:$A$24,J10)</x:f>
        <x:v>5</x:v>
      </x:c>
      <x:c r="L10" s="137"/>
      <x:c r="M10" s="137"/>
    </x:row>
    <x:row r="11">
      <x:c r="A11" s="75"/>
      <x:c r="B11" s="76"/>
      <x:c r="C11" s="76"/>
      <x:c r="D11" s="76"/>
      <x:c r="E11" s="76"/>
      <x:c r="F11" s="76"/>
      <x:c r="G11" s="76"/>
      <x:c r="H11" s="77"/>
      <x:c r="I11" s="137"/>
      <x:c r="J11" s="97" t="str">
        <x:v>P1</x:v>
      </x:c>
      <x:c r="K11" s="97" t="n">
        <x:f>COUNTIF('Remediation'!$A$5:$A$24,J11)</x:f>
        <x:v>9</x:v>
      </x:c>
      <x:c r="L11" s="137"/>
      <x:c r="M11" s="137"/>
    </x:row>
    <x:row r="12">
      <x:c r="A12" s="78"/>
      <x:c r="B12" s="79"/>
      <x:c r="C12" s="79"/>
      <x:c r="D12" s="79"/>
      <x:c r="E12" s="79"/>
      <x:c r="F12" s="79"/>
      <x:c r="G12" s="79"/>
      <x:c r="H12" s="80"/>
      <x:c r="I12" s="137"/>
      <x:c r="J12" s="97" t="str">
        <x:v>P2</x:v>
      </x:c>
      <x:c r="K12" s="97" t="n">
        <x:f>COUNTIF('Remediation'!$A$5:$A$24,J12)</x:f>
        <x:v>4</x:v>
      </x:c>
      <x:c r="L12" s="137"/>
      <x:c r="M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97" t="str">
        <x:v>P3</x:v>
      </x:c>
      <x:c r="K13" s="97" t="n">
        <x:f>COUNTIF('Remediation'!$A$5:$A$24,J13)</x:f>
        <x:v>2</x:v>
      </x:c>
      <x:c r="L13" s="137"/>
      <x:c r="M13" s="137"/>
    </x:row>
    <x:row r="14">
      <x:c r="A14" s="82" t="str">
        <x:v>Priority</x:v>
      </x:c>
      <x:c r="B14" s="82" t="str">
        <x:v>Finding</x:v>
      </x:c>
      <x:c r="C14" s="82" t="str">
        <x:v>Why it matters</x:v>
      </x:c>
      <x:c r="D14" s="82" t="str">
        <x:v>Current evidence</x:v>
      </x:c>
      <x:c r="E14" s="82" t="str">
        <x:v>Owner decision</x:v>
      </x:c>
      <x:c r="F14" s="82" t="str">
        <x:v>Next system move</x:v>
      </x:c>
      <x:c r="G14" s="82" t="str">
        <x:v>Expected effect</x:v>
      </x:c>
      <x:c r="H14" s="82" t="str">
        <x:v>Status</x:v>
      </x:c>
      <x:c r="I14" s="137"/>
      <x:c r="J14" s="137"/>
      <x:c r="K14" s="137"/>
      <x:c r="L14" s="137"/>
      <x:c r="M14" s="137"/>
    </x:row>
    <x:row r="15" ht="70" customHeight="1">
      <x:c r="A15" s="93" t="str">
        <x:v>P0</x:v>
      </x:c>
      <x:c r="B15" s="93" t="str">
        <x:v>Beat 27 prelude restored</x:v>
      </x:c>
      <x:c r="C15" s="93" t="str">
        <x:v>The complete authored prelude is reachable in the canonical Luxury path.</x:v>
      </x:c>
      <x:c r="D15" s="93" t="str">
        <x:v>Shared adapter covers SM-010…SM-090 and answered-save replay.</x:v>
      </x:c>
      <x:c r="E15" s="93" t="str">
        <x:v>Resolved</x:v>
      </x:c>
      <x:c r="F15" s="93" t="str">
        <x:v>Keep exact real-flow browser certification.</x:v>
      </x:c>
      <x:c r="G15" s="93" t="str">
        <x:v>Final-act pacing and authored work are restored.</x:v>
      </x:c>
      <x:c r="H15" s="93" t="str">
        <x:v>DONE</x:v>
      </x:c>
      <x:c r="I15" s="137"/>
      <x:c r="J15" s="137"/>
      <x:c r="K15" s="137"/>
      <x:c r="L15" s="137"/>
      <x:c r="M15" s="137"/>
    </x:row>
    <x:row r="16" ht="70" customHeight="1">
      <x:c r="A16" s="94" t="str">
        <x:v>P0</x:v>
      </x:c>
      <x:c r="B16" s="94" t="str">
        <x:v>Deterministic radio programming</x:v>
      </x:c>
      <x:c r="C16" s="94" t="str">
        <x:v>Players receive beat-specific talk before stable song/ad fallback.</x:v>
      </x:c>
      <x:c r="D16" s="94" t="str">
        <x:v>31 beat policies, 8 receivers, 13 resumable programs.</x:v>
      </x:c>
      <x:c r="E16" s="94" t="str">
        <x:v>Resolved</x:v>
      </x:c>
      <x:c r="F16" s="94" t="str">
        <x:v>Generate every report from the live manifest.</x:v>
      </x:c>
      <x:c r="G16" s="94" t="str">
        <x:v>Order, progress, and after-cut behavior are enforceable.</x:v>
      </x:c>
      <x:c r="H16" s="94" t="str">
        <x:v>DONE</x:v>
      </x:c>
      <x:c r="I16" s="137"/>
      <x:c r="J16" s="137"/>
      <x:c r="K16" s="137"/>
      <x:c r="L16" s="137"/>
      <x:c r="M16" s="137"/>
    </x:row>
    <x:row r="17" ht="70" customHeight="1">
      <x:c r="A17" s="95" t="str">
        <x:v>P0</x:v>
      </x:c>
      <x:c r="B17" s="95" t="str">
        <x:v>Final replay handoff</x:v>
      </x:c>
      <x:c r="C17" s="95" t="str">
        <x:v>Credits lead to a clear post-campaign destination.</x:v>
      </x:c>
      <x:c r="D17" s="95" t="str">
        <x:v>Durable completion reveals preview.html replay portal.</x:v>
      </x:c>
      <x:c r="E17" s="95" t="str">
        <x:v>Resolved</x:v>
      </x:c>
      <x:c r="F17" s="95" t="str">
        <x:v>Keep real finale and reload proofs.</x:v>
      </x:c>
      <x:c r="G17" s="95" t="str">
        <x:v>One explicit finale owner and replay route.</x:v>
      </x:c>
      <x:c r="H17" s="95" t="str">
        <x:v>DONE</x:v>
      </x:c>
      <x:c r="I17" s="137"/>
      <x:c r="J17" s="137"/>
      <x:c r="K17" s="137"/>
      <x:c r="L17" s="137"/>
      <x:c r="M17" s="137"/>
    </x:row>
    <x:row r="18" ht="70" customHeight="1">
      <x:c r="A18" s="94" t="str">
        <x:v>P0</x:v>
      </x:c>
      <x:c r="B18" s="94" t="str">
        <x:v>Campaign-critical Margo VO</x:v>
      </x:c>
      <x:c r="C18" s="94" t="str">
        <x:v>The Cabin relationship call no longer depends on rerecord fallbacks.</x:v>
      </x:c>
      <x:c r="D18" s="94" t="str">
        <x:v>Six delivered 44.1 kHz mono recordings; zero critical queue items.</x:v>
      </x:c>
      <x:c r="E18" s="94" t="str">
        <x:v>Resolved</x:v>
      </x:c>
      <x:c r="F18" s="94" t="str">
        <x:v>Retain full-denominator rendered receipts.</x:v>
      </x:c>
      <x:c r="G18" s="94" t="str">
        <x:v>Performance gap is closed; one optional refusal remains.</x:v>
      </x:c>
      <x:c r="H18" s="94" t="str">
        <x:v>DONE</x:v>
      </x:c>
      <x:c r="I18" s="137"/>
      <x:c r="J18" s="137"/>
      <x:c r="K18" s="137"/>
      <x:c r="L18" s="137"/>
      <x:c r="M18" s="137"/>
    </x:row>
    <x:row r="19" ht="70" customHeight="1">
      <x:c r="A19" s="96" t="str">
        <x:v>P1</x:v>
      </x:c>
      <x:c r="B19" s="96" t="str">
        <x:v>Broad dialogue rewrite declined</x:v>
      </x:c>
      <x:c r="C19" s="96" t="str">
        <x:v>Strong scenes stay intact and owner review remains line-specific.</x:v>
      </x:c>
      <x:c r="D19" s="96" t="str">
        <x:v>No P1 hotspot copy was rewritten in this pass.</x:v>
      </x:c>
      <x:c r="E19" s="96" t="str">
        <x:v>Owner chose no broad rewrite</x:v>
      </x:c>
      <x:c r="F19" s="96" t="str">
        <x:v>Select individual lines only after review/listening.</x:v>
      </x:c>
      <x:c r="G19" s="96" t="str">
        <x:v>Avoids unnecessary churn while reachability QA improves.</x:v>
      </x:c>
      <x:c r="H19" s="96" t="str">
        <x:v>NOT REQUESTED</x:v>
      </x:c>
      <x:c r="I19" s="137"/>
      <x:c r="J19" s="137"/>
      <x:c r="K19" s="137"/>
      <x:c r="L19" s="137"/>
      <x:c r="M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</x:row>
    <x:row r="21">
      <x:c r="A21" s="82" t="str">
        <x:v>Result</x:v>
      </x:c>
      <x:c r="B21" s="82" t="str">
        <x:v>Change</x:v>
      </x:c>
      <x:c r="C21" s="82" t="str">
        <x:v>Why it mattered</x:v>
      </x:c>
      <x:c r="D21" s="82" t="str">
        <x:v>Dependency</x:v>
      </x:c>
      <x:c r="E21" s="82" t="str">
        <x:v>Effort</x:v>
      </x:c>
      <x:c r="F21" s="82" t="str">
        <x:v>Risk</x:v>
      </x:c>
      <x:c r="G21" s="82" t="str">
        <x:v>Bug reduction</x:v>
      </x:c>
      <x:c r="H21" s="82" t="str">
        <x:v>Workbook detail</x:v>
      </x:c>
      <x:c r="I21" s="137"/>
      <x:c r="J21" s="137"/>
      <x:c r="K21" s="137"/>
      <x:c r="L21" s="137"/>
      <x:c r="M21" s="137"/>
    </x:row>
    <x:row r="22" ht="48" customHeight="1">
      <x:c r="A22" s="100" t="str">
        <x:v>DONE</x:v>
      </x:c>
      <x:c r="B22" s="100" t="str">
        <x:v>Finale route + Nehoo after-cut</x:v>
      </x:c>
      <x:c r="C22" s="100" t="str">
        <x:v>Removed two ambiguous media/navigation outcomes.</x:v>
      </x:c>
      <x:c r="D22" s="100" t="str">
        <x:v>Owner direction</x:v>
      </x:c>
      <x:c r="E22" s="100" t="str">
        <x:v>Small</x:v>
      </x:c>
      <x:c r="F22" s="100" t="str">
        <x:v>Low</x:v>
      </x:c>
      <x:c r="G22" s="100" t="str">
        <x:v>High</x:v>
      </x:c>
      <x:c r="H22" s="100" t="str">
        <x:v>Remediation rows 3–4</x:v>
      </x:c>
      <x:c r="I22" s="137"/>
      <x:c r="J22" s="137"/>
      <x:c r="K22" s="137"/>
      <x:c r="L22" s="137"/>
      <x:c r="M22" s="137"/>
    </x:row>
    <x:row r="23" ht="48" customHeight="1">
      <x:c r="A23" s="95" t="str">
        <x:v>DONE</x:v>
      </x:c>
      <x:c r="B23" s="95" t="str">
        <x:v>Six Margo-call recordings</x:v>
      </x:c>
      <x:c r="C23" s="95" t="str">
        <x:v>Closed the campaign-critical performance queue.</x:v>
      </x:c>
      <x:c r="D23" s="95" t="str">
        <x:v>Voice IDs</x:v>
      </x:c>
      <x:c r="E23" s="95" t="str">
        <x:v>Medium</x:v>
      </x:c>
      <x:c r="F23" s="95" t="str">
        <x:v>Low</x:v>
      </x:c>
      <x:c r="G23" s="95" t="str">
        <x:v>High</x:v>
      </x:c>
      <x:c r="H23" s="95" t="str">
        <x:v>Voice Pickups</x:v>
      </x:c>
      <x:c r="I23" s="137"/>
      <x:c r="J23" s="137"/>
      <x:c r="K23" s="137"/>
      <x:c r="L23" s="137"/>
      <x:c r="M23" s="137"/>
    </x:row>
    <x:row r="24" ht="48" customHeight="1">
      <x:c r="A24" s="94" t="str">
        <x:v>DONE</x:v>
      </x:c>
      <x:c r="B24" s="94" t="str">
        <x:v>Shared Special Meeting home prelude</x:v>
      </x:c>
      <x:c r="C24" s="94" t="str">
        <x:v>Restored the largest final-act continuity omission.</x:v>
      </x:c>
      <x:c r="D24" s="94" t="str">
        <x:v>Home-prelude adapter</x:v>
      </x:c>
      <x:c r="E24" s="94" t="str">
        <x:v>Large</x:v>
      </x:c>
      <x:c r="F24" s="94" t="str">
        <x:v>Medium</x:v>
      </x:c>
      <x:c r="G24" s="94" t="str">
        <x:v>Very high</x:v>
      </x:c>
      <x:c r="H24" s="94" t="str">
        <x:v>Campaign Spine beat 27</x:v>
      </x:c>
      <x:c r="I24" s="137"/>
      <x:c r="J24" s="137"/>
      <x:c r="K24" s="137"/>
      <x:c r="L24" s="137"/>
      <x:c r="M24" s="137"/>
    </x:row>
    <x:row r="25" ht="48" customHeight="1">
      <x:c r="A25" s="95" t="str">
        <x:v>DONE</x:v>
      </x:c>
      <x:c r="B25" s="95" t="str">
        <x:v>RadioProgram manifest + enforcement</x:v>
      </x:c>
      <x:c r="C25" s="95" t="str">
        <x:v>Created one source of truth for order and coverage.</x:v>
      </x:c>
      <x:c r="D25" s="95" t="str">
        <x:v>Program schema</x:v>
      </x:c>
      <x:c r="E25" s="95" t="str">
        <x:v>Large</x:v>
      </x:c>
      <x:c r="F25" s="95" t="str">
        <x:v>Medium</x:v>
      </x:c>
      <x:c r="G25" s="95" t="str">
        <x:v>Very high</x:v>
      </x:c>
      <x:c r="H25" s="95" t="str">
        <x:v>Live Radio Manifest</x:v>
      </x:c>
      <x:c r="I25" s="137"/>
      <x:c r="J25" s="137"/>
      <x:c r="K25" s="137"/>
      <x:c r="L25" s="137"/>
      <x:c r="M25" s="137"/>
    </x:row>
    <x:row r="26" ht="48" customHeight="1">
      <x:c r="A26" s="101" t="str">
        <x:v>DONE</x:v>
      </x:c>
      <x:c r="B26" s="101" t="str">
        <x:v>Semantic dialogue/audio/test protection</x:v>
      </x:c>
      <x:c r="C26" s="101" t="str">
        <x:v>Improved reachability and speaker proof without rewriting copy.</x:v>
      </x:c>
      <x:c r="D26" s="101" t="str">
        <x:v>Live receipts</x:v>
      </x:c>
      <x:c r="E26" s="101" t="str">
        <x:v>Large</x:v>
      </x:c>
      <x:c r="F26" s="101" t="str">
        <x:v>Low</x:v>
      </x:c>
      <x:c r="G26" s="101" t="str">
        <x:v>High</x:v>
      </x:c>
      <x:c r="H26" s="101" t="str">
        <x:v>Test Gaps</x:v>
      </x:c>
      <x:c r="I26" s="137"/>
      <x:c r="J26" s="137"/>
      <x:c r="K26" s="137"/>
      <x:c r="L26" s="137"/>
      <x:c r="M26" s="137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L4"/>
    <x:mergeCell ref="J5:L6"/>
    <x:mergeCell ref="A8:H8"/>
    <x:mergeCell ref="A9:H12"/>
  </x:mergeCells>
  <x:conditionalFormatting sqref="A15:A19">
    <x:cfRule type="containsText" dxfId="0" priority="1" operator="containsText" text="P0"/>
    <x:cfRule type="containsText" dxfId="1" priority="2" operator="containsText" text="FAIL"/>
    <x:cfRule type="containsText" dxfId="2" priority="3" operator="containsText" text="BROKEN"/>
    <x:cfRule type="containsText" dxfId="3" priority="4" operator="containsText" text="MISSING"/>
    <x:cfRule type="containsText" dxfId="4" priority="5" operator="containsText" text="DEBT"/>
    <x:cfRule type="containsText" dxfId="5" priority="6" operator="containsText" text="P1"/>
    <x:cfRule type="containsText" dxfId="6" priority="7" operator="containsText" text="OWNER"/>
    <x:cfRule type="containsText" dxfId="7" priority="8" operator="containsText" text="RERECORD"/>
    <x:cfRule type="containsText" dxfId="8" priority="9" operator="containsText" text="PARTIAL"/>
    <x:cfRule type="containsText" dxfId="9" priority="10" operator="containsText" text="P2"/>
    <x:cfRule type="containsText" dxfId="10" priority="11" operator="containsText" text="CONNECTED"/>
    <x:cfRule type="containsText" dxfId="11" priority="12" operator="containsText" text="PASS"/>
    <x:cfRule type="containsText" dxfId="12" priority="13" operator="containsText" text="KEEP"/>
    <x:cfRule type="containsText" dxfId="13" priority="14" operator="containsText" text="EXISTING"/>
    <x:cfRule type="containsText" dxfId="14" priority="15" operator="containsText" text="P3"/>
    <x:cfRule type="containsText" dxfId="15" priority="16" operator="containsText" text="FROZEN"/>
    <x:cfRule type="containsText" dxfId="16" priority="17" operator="containsText" text="NEW"/>
  </x:conditionalFormatting>
  <x:conditionalFormatting sqref="H15:H19">
    <x:cfRule type="containsText" dxfId="17" priority="18" operator="containsText" text="P0"/>
    <x:cfRule type="containsText" dxfId="18" priority="19" operator="containsText" text="FAIL"/>
    <x:cfRule type="containsText" dxfId="19" priority="20" operator="containsText" text="BROKEN"/>
    <x:cfRule type="containsText" dxfId="20" priority="21" operator="containsText" text="MISSING"/>
    <x:cfRule type="containsText" dxfId="21" priority="22" operator="containsText" text="DEBT"/>
    <x:cfRule type="containsText" dxfId="22" priority="23" operator="containsText" text="P1"/>
    <x:cfRule type="containsText" dxfId="23" priority="24" operator="containsText" text="OWNER"/>
    <x:cfRule type="containsText" dxfId="24" priority="25" operator="containsText" text="RERECORD"/>
    <x:cfRule type="containsText" dxfId="25" priority="26" operator="containsText" text="PARTIAL"/>
    <x:cfRule type="containsText" dxfId="26" priority="27" operator="containsText" text="P2"/>
    <x:cfRule type="containsText" dxfId="27" priority="28" operator="containsText" text="CONNECTED"/>
    <x:cfRule type="containsText" dxfId="28" priority="29" operator="containsText" text="PASS"/>
    <x:cfRule type="containsText" dxfId="29" priority="30" operator="containsText" text="KEEP"/>
    <x:cfRule type="containsText" dxfId="30" priority="31" operator="containsText" text="EXISTING"/>
    <x:cfRule type="containsText" dxfId="31" priority="32" operator="containsText" text="P3"/>
    <x:cfRule type="containsText" dxfId="32" priority="33" operator="containsText" text="FROZEN"/>
    <x:cfRule type="containsText" dxfId="33" priority="34" operator="containsText" text="NEW"/>
  </x:conditionalFormatting>
  <x:pageMargins left="0.7" right="0.7" top="0.75" bottom="0.75" header="0.3" footer="0.3"/>
  <x:drawing xmlns:r="http://schemas.openxmlformats.org/officeDocument/2006/relationships" r:id="Rc71e520ba4c041ed"/>
  <x:tableParts count="2">
    <x:tablePart xmlns:r="http://schemas.openxmlformats.org/officeDocument/2006/relationships" r:id="R00d17dcf80a74b08"/>
    <x:tablePart xmlns:r="http://schemas.openxmlformats.org/officeDocument/2006/relationships" r:id="R9f33a232845e49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7" hidden="0" customWidth="1"/>
    <x:col min="4" max="4" width="36" hidden="0" customWidth="1"/>
    <x:col min="5" max="5" width="34" hidden="0" customWidth="1"/>
    <x:col min="6" max="6" width="40" hidden="0" customWidth="1"/>
    <x:col min="7" max="7" width="28" hidden="0" customWidth="1"/>
    <x:col min="8" max="8" width="18" hidden="0" customWidth="1"/>
    <x:col min="9" max="9" width="16" hidden="0" customWidth="1"/>
    <x:col min="10" max="10" width="42" hidden="0" customWidth="1"/>
    <x:col min="11" max="11" width="16" hidden="0" customWidth="1"/>
    <x:col min="12" max="12" width="20" hidden="0" customWidth="1"/>
    <x:col min="13" max="13" width="38" hidden="0" customWidth="1"/>
  </x:cols>
  <x:sheetData>
    <x:row r="1" ht="32" customHeight="1">
      <x:c r="A1" s="136" t="str">
        <x:v>CAMPAIGN SPINE · 31-BEAT CONTINUITY MATRIX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</x:row>
    <x:row r="2" ht="34" customHeight="1">
      <x:c r="A2" s="7" t="str">
        <x:v>Current source-of-truth route, handoffs, risk, radio policy, and dialogue verdict. UNKNOWN is not treated as green.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</x:row>
    <x:row r="4" ht="34" customHeight="1">
      <x:c r="A4" s="105" t="str">
        <x:v>Beat</x:v>
      </x:c>
      <x:c r="B4" s="105" t="str">
        <x:v>Chapter</x:v>
      </x:c>
      <x:c r="C4" s="105" t="str">
        <x:v>Scene</x:v>
      </x:c>
      <x:c r="D4" s="105" t="str">
        <x:v>Story function</x:v>
      </x:c>
      <x:c r="E4" s="105" t="str">
        <x:v>Entry</x:v>
      </x:c>
      <x:c r="F4" s="105" t="str">
        <x:v>Exit / next</x:v>
      </x:c>
      <x:c r="G4" s="105" t="str">
        <x:v>Runtime connection</x:v>
      </x:c>
      <x:c r="H4" s="105" t="str">
        <x:v>Status</x:v>
      </x:c>
      <x:c r="I4" s="105" t="str">
        <x:v>Continuity risk</x:v>
      </x:c>
      <x:c r="J4" s="105" t="str">
        <x:v>Highest-value refinement</x:v>
      </x:c>
      <x:c r="K4" s="105" t="str">
        <x:v>Radio policy</x:v>
      </x:c>
      <x:c r="L4" s="105" t="str">
        <x:v>Dialogue verdict</x:v>
      </x:c>
      <x:c r="M4" s="105" t="str">
        <x:v>Evidence</x:v>
      </x:c>
    </x:row>
    <x:row r="5" ht="46" customHeight="1">
      <x:c r="A5" s="106" t="str">
        <x:v>0</x:v>
      </x:c>
      <x:c r="B5" s="93" t="str">
        <x:v>Prospect</x:v>
      </x:c>
      <x:c r="C5" s="93" t="str">
        <x:v>Squatch Smash Intro</x:v>
      </x:c>
      <x:c r="D5" s="93" t="str">
        <x:v>Fake-out game opening; reveal that Squatch Smash is a game inside the campaign.</x:v>
      </x:c>
      <x:c r="E5" s="93" t="str">
        <x:v>New Game / boot</x:v>
      </x:c>
      <x:c r="F5" s="93" t="str">
        <x:v>Quit or Esc pulls camera out to the starter apartment.</x:v>
      </x:c>
      <x:c r="G5" s="93" t="str">
        <x:v>Playable transition into apartment</x:v>
      </x:c>
      <x:c r="H5" s="93" t="str">
        <x:v>CONNECTED</x:v>
      </x:c>
      <x:c r="I5" s="93" t="str">
        <x:v>Low</x:v>
      </x:c>
      <x:c r="J5" s="93" t="str">
        <x:v>Preserve the reveal; certify real Quit/Esc path.</x:v>
      </x:c>
      <x:c r="K5" s="93" t="str">
        <x:v>none</x:v>
      </x:c>
      <x:c r="L5" s="93" t="str">
        <x:v>KEEP</x:v>
      </x:c>
      <x:c r="M5" s="93" t="str">
        <x:v>docs/CAMPAIGN-STORY-BIBLE.md; src/core/campaign-spine.js</x:v>
      </x:c>
    </x:row>
    <x:row r="6" ht="46" customHeight="1">
      <x:c r="A6" s="107" t="str">
        <x:v>1</x:v>
      </x:c>
      <x:c r="B6" s="94" t="str">
        <x:v>Prospect</x:v>
      </x:c>
      <x:c r="C6" s="94" t="str">
        <x:v>First Apartment</x:v>
      </x:c>
      <x:c r="D6" s="94" t="str">
        <x:v>Establish ordinary life and Uncle Lou's call into the family world.</x:v>
      </x:c>
      <x:c r="E6" s="94" t="str">
        <x:v>Monitor pullback completes</x:v>
      </x:c>
      <x:c r="F6" s="94" t="str">
        <x:v>Lou calls; player leaves for Bada Bing I.</x:v>
      </x:c>
      <x:c r="G6" s="94" t="str">
        <x:v>Fresh-save route lands and reloads</x:v>
      </x:c>
      <x:c r="H6" s="94" t="str">
        <x:v>CONNECTED</x:v>
      </x:c>
      <x:c r="I6" s="94" t="str">
        <x:v>Medium</x:v>
      </x:c>
      <x:c r="J6" s="94" t="str">
        <x:v>Use a deterministic Day One five-minute radio packet.</x:v>
      </x:c>
      <x:c r="K6" s="94" t="str">
        <x:v>talkFirst</x:v>
      </x:c>
      <x:c r="L6" s="94" t="str">
        <x:v>KEEP / P1 Tony</x:v>
      </x:c>
      <x:c r="M6" s="94" t="str">
        <x:v>src/main.js; src/core/apartment-story.js</x:v>
      </x:c>
    </x:row>
    <x:row r="7" ht="46" customHeight="1">
      <x:c r="A7" s="108" t="str">
        <x:v>2</x:v>
      </x:c>
      <x:c r="B7" s="95" t="str">
        <x:v>Prospect</x:v>
      </x:c>
      <x:c r="C7" s="95" t="str">
        <x:v>Bada Bing I</x:v>
      </x:c>
      <x:c r="D7" s="95" t="str">
        <x:v>Introduce Lou, Booski, Rippin, Margo, James Blond, and first assignment.</x:v>
      </x:c>
      <x:c r="E7" s="95" t="str">
        <x:v>Arrival after Lou's call</x:v>
      </x:c>
      <x:c r="F7" s="95" t="str">
        <x:v>Driver takes Tony directly to Squatchfather.</x:v>
      </x:c>
      <x:c r="G7" s="95" t="str">
        <x:v>Campaign handoff is durable</x:v>
      </x:c>
      <x:c r="H7" s="95" t="str">
        <x:v>CONNECTED</x:v>
      </x:c>
      <x:c r="I7" s="95" t="str">
        <x:v>Medium</x:v>
      </x:c>
      <x:c r="J7" s="95" t="str">
        <x:v>Extend car exposure past the six-second exit prompt; preserve venue music.</x:v>
      </x:c>
      <x:c r="K7" s="95" t="str">
        <x:v>musicFirst</x:v>
      </x:c>
      <x:c r="L7" s="95" t="str">
        <x:v>P1 Tony / KEEP NPCs</x:v>
      </x:c>
      <x:c r="M7" s="95" t="str">
        <x:v>src/bing/main.js; docs/CAMPAIGN-STORY-BIBLE.md</x:v>
      </x:c>
    </x:row>
    <x:row r="8" ht="46" customHeight="1">
      <x:c r="A8" s="107" t="str">
        <x:v>3</x:v>
      </x:c>
      <x:c r="B8" s="94" t="str">
        <x:v>Prospect</x:v>
      </x:c>
      <x:c r="C8" s="94" t="str">
        <x:v>The Squatchfather</x:v>
      </x:c>
      <x:c r="D8" s="94" t="str">
        <x:v>First serious assignment and first real kill.</x:v>
      </x:c>
      <x:c r="E8" s="94" t="str">
        <x:v>Driver drops Tony at restaurant</x:v>
      </x:c>
      <x:c r="F8" s="94" t="str">
        <x:v>Driver extracts Tony to the cabin; no trip home.</x:v>
      </x:c>
      <x:c r="G8" s="94" t="str">
        <x:v>Campaign handoff is durable</x:v>
      </x:c>
      <x:c r="H8" s="94" t="str">
        <x:v>CONNECTED</x:v>
      </x:c>
      <x:c r="I8" s="94" t="str">
        <x:v>Medium</x:v>
      </x:c>
      <x:c r="J8" s="94" t="str">
        <x:v>Replace abstract exposition with witnessed money/status insult; add source music.</x:v>
      </x:c>
      <x:c r="K8" s="94" t="str">
        <x:v>musicFirst</x:v>
      </x:c>
      <x:c r="L8" s="94" t="str">
        <x:v>P1</x:v>
      </x:c>
      <x:c r="M8" s="94" t="str">
        <x:v>src/squatchfather/dialogue.json</x:v>
      </x:c>
    </x:row>
    <x:row r="9" ht="46" customHeight="1">
      <x:c r="A9" s="108" t="str">
        <x:v>4</x:v>
      </x:c>
      <x:c r="B9" s="95" t="str">
        <x:v>Prospect</x:v>
      </x:c>
      <x:c r="C9" s="95" t="str">
        <x:v>Cabin I: Lay Low</x:v>
      </x:c>
      <x:c r="D9" s="95" t="str">
        <x:v>Decompress, explore, call Margo, and live with the first hit.</x:v>
      </x:c>
      <x:c r="E9" s="95" t="str">
        <x:v>Direct drop after Squatchfather</x:v>
      </x:c>
      <x:c r="F9" s="95" t="str">
        <x:v>Remain until Booski/Sasole call.</x:v>
      </x:c>
      <x:c r="G9" s="95" t="str">
        <x:v>Single cabin scene owns the lay-low state</x:v>
      </x:c>
      <x:c r="H9" s="95" t="str">
        <x:v>CONNECTED</x:v>
      </x:c>
      <x:c r="I9" s="95" t="str">
        <x:v>Medium</x:v>
      </x:c>
      <x:c r="J9" s="95" t="str">
        <x:v>Deliver Margo call rerecords and preserve the basement/dungeon content.</x:v>
      </x:c>
      <x:c r="K9" s="95" t="str">
        <x:v>talkFirst</x:v>
      </x:c>
      <x:c r="L9" s="95" t="str">
        <x:v>KEEP</x:v>
      </x:c>
      <x:c r="M9" s="95" t="str">
        <x:v>src/cabin/main.js; src/cabin/script.js</x:v>
      </x:c>
    </x:row>
    <x:row r="10" ht="46" customHeight="1">
      <x:c r="A10" s="107" t="str">
        <x:v>5</x:v>
      </x:c>
      <x:c r="B10" s="94" t="str">
        <x:v>Prospect</x:v>
      </x:c>
      <x:c r="C10" s="94" t="str">
        <x:v>Booski / Sasole Call</x:v>
      </x:c>
      <x:c r="D10" s="94" t="str">
        <x:v>Create the organic reason to meet Captain Sasole.</x:v>
      </x:c>
      <x:c r="E10" s="94" t="str">
        <x:v>Cabin objectives complete</x:v>
      </x:c>
      <x:c r="F10" s="94" t="str">
        <x:v>Transition to the rural airstrip.</x:v>
      </x:c>
      <x:c r="G10" s="94" t="str">
        <x:v>Call-to-airstrip route is connected</x:v>
      </x:c>
      <x:c r="H10" s="94" t="str">
        <x:v>CONNECTED</x:v>
      </x:c>
      <x:c r="I10" s="94" t="str">
        <x:v>Low</x:v>
      </x:c>
      <x:c r="J10" s="94" t="str">
        <x:v>Give this visit its own post-rest radio packet before the call.</x:v>
      </x:c>
      <x:c r="K10" s="94" t="str">
        <x:v>talkFirst</x:v>
      </x:c>
      <x:c r="L10" s="94" t="str">
        <x:v>KEEP</x:v>
      </x:c>
      <x:c r="M10" s="94" t="str">
        <x:v>src/cabin/main.js; src/core/campaign-spine.js</x:v>
      </x:c>
    </x:row>
    <x:row r="11" ht="46" customHeight="1">
      <x:c r="A11" s="108" t="str">
        <x:v>6</x:v>
      </x:c>
      <x:c r="B11" s="95" t="str">
        <x:v>Prospect</x:v>
      </x:c>
      <x:c r="C11" s="95" t="str">
        <x:v>Beef Run</x:v>
      </x:c>
      <x:c r="D11" s="95" t="str">
        <x:v>Introduce Sasole, teach flight, and build the Enola payoff.</x:v>
      </x:c>
      <x:c r="E11" s="95" t="str">
        <x:v>Airstrip after Booski's call</x:v>
      </x:c>
      <x:c r="F11" s="95" t="str">
        <x:v>Successful return sends Tony back to cabin.</x:v>
      </x:c>
      <x:c r="G11" s="95" t="str">
        <x:v>Return-to-cabin route is connected</x:v>
      </x:c>
      <x:c r="H11" s="95" t="str">
        <x:v>CONNECTED</x:v>
      </x:c>
      <x:c r="I11" s="95" t="str">
        <x:v>Medium</x:v>
      </x:c>
      <x:c r="J11" s="95" t="str">
        <x:v>Keep the takeoff needle-drop; radio time is Day 2 11:21 / Rerun Hour and optional.</x:v>
      </x:c>
      <x:c r="K11" s="95" t="str">
        <x:v>musicFirst</x:v>
      </x:c>
      <x:c r="L11" s="95" t="str">
        <x:v>P1 Tony</x:v>
      </x:c>
      <x:c r="M11" s="95" t="str">
        <x:v>src/core/campaign.js:609-618; src/beefrun/main.js:166-174</x:v>
      </x:c>
    </x:row>
    <x:row r="12" ht="46" customHeight="1">
      <x:c r="A12" s="107" t="str">
        <x:v>7</x:v>
      </x:c>
      <x:c r="B12" s="94" t="str">
        <x:v>Prospect</x:v>
      </x:c>
      <x:c r="C12" s="94" t="str">
        <x:v>Cabin II</x:v>
      </x:c>
      <x:c r="D12" s="94" t="str">
        <x:v>Close lay-low arc and pull Tony back for Billy's release.</x:v>
      </x:c>
      <x:c r="E12" s="94" t="str">
        <x:v>Return from Beef Run</x:v>
      </x:c>
      <x:c r="F12" s="94" t="str">
        <x:v>Call sends Tony to Bada Bing II.</x:v>
      </x:c>
      <x:c r="G12" s="94" t="str">
        <x:v>Cabin-to-Bing route is connected</x:v>
      </x:c>
      <x:c r="H12" s="94" t="str">
        <x:v>CONNECTED</x:v>
      </x:c>
      <x:c r="I12" s="94" t="str">
        <x:v>Medium</x:v>
      </x:c>
      <x:c r="J12" s="94" t="str">
        <x:v>Use a distinct dungeon-day packet plus optional evening block.</x:v>
      </x:c>
      <x:c r="K12" s="94" t="str">
        <x:v>talkFirst</x:v>
      </x:c>
      <x:c r="L12" s="94" t="str">
        <x:v>KEEP</x:v>
      </x:c>
      <x:c r="M12" s="94" t="str">
        <x:v>src/cabin/main.js; docs/CAMPAIGN-STORY-BIBLE.md</x:v>
      </x:c>
    </x:row>
    <x:row r="13" ht="46" customHeight="1">
      <x:c r="A13" s="108" t="str">
        <x:v>8</x:v>
      </x:c>
      <x:c r="B13" s="95" t="str">
        <x:v>Family Business</x:v>
      </x:c>
      <x:c r="C13" s="95" t="str">
        <x:v>Bada Bing II: Billy Hotdog</x:v>
      </x:c>
      <x:c r="D13" s="95" t="str">
        <x:v>Celebration becomes internal family violence.</x:v>
      </x:c>
      <x:c r="E13" s="95" t="str">
        <x:v>Return because Billy is getting out</x:v>
      </x:c>
      <x:c r="F13" s="95" t="str">
        <x:v>Billy is killed; body moves to graveyard.</x:v>
      </x:c>
      <x:c r="G13" s="95" t="str">
        <x:v>Immediate cleanup handoff is connected</x:v>
      </x:c>
      <x:c r="H13" s="95" t="str">
        <x:v>CONNECTED</x:v>
      </x:c>
      <x:c r="I13" s="95" t="str">
        <x:v>Medium</x:v>
      </x:c>
      <x:c r="J13" s="95" t="str">
        <x:v>Preserve Hotdog escalation; add a brief late-night host link after music.</x:v>
      </x:c>
      <x:c r="K13" s="95" t="str">
        <x:v>musicFirst</x:v>
      </x:c>
      <x:c r="L13" s="95" t="str">
        <x:v>KEEP / P1 Tony</x:v>
      </x:c>
      <x:c r="M13" s="95" t="str">
        <x:v>src/bing/main.js; src/hotdog/main.js</x:v>
      </x:c>
    </x:row>
    <x:row r="14" ht="46" customHeight="1">
      <x:c r="A14" s="107" t="str">
        <x:v>9</x:v>
      </x:c>
      <x:c r="B14" s="94" t="str">
        <x:v>Family Business</x:v>
      </x:c>
      <x:c r="C14" s="94" t="str">
        <x:v>Graveyard</x:v>
      </x:c>
      <x:c r="D14" s="94" t="str">
        <x:v>Make Tony complicit in concealment, not only killing.</x:v>
      </x:c>
      <x:c r="E14" s="94" t="str">
        <x:v>Crew arrives with Billy's body</x:v>
      </x:c>
      <x:c r="F14" s="94" t="str">
        <x:v>Booski routes Tony to an anonymous motel.</x:v>
      </x:c>
      <x:c r="G14" s="94" t="str">
        <x:v>Graveyard-to-motel rationale is strong</x:v>
      </x:c>
      <x:c r="H14" s="94" t="str">
        <x:v>CONNECTED</x:v>
      </x:c>
      <x:c r="I14" s="94" t="str">
        <x:v>Low</x:v>
      </x:c>
      <x:c r="J14" s="94" t="str">
        <x:v>Keep ceremony tense; optional arrival-car song must fade as Tony walks away.</x:v>
      </x:c>
      <x:c r="K14" s="94" t="str">
        <x:v>intentionalSilence</x:v>
      </x:c>
      <x:c r="L14" s="94" t="str">
        <x:v>P2 one crude line</x:v>
      </x:c>
      <x:c r="M14" s="94" t="str">
        <x:v>src/graveyard/main.js; docs/CAMPAIGN-STORY-BIBLE.md</x:v>
      </x:c>
    </x:row>
    <x:row r="15" ht="46" customHeight="1">
      <x:c r="A15" s="108" t="str">
        <x:v>10</x:v>
      </x:c>
      <x:c r="B15" s="95" t="str">
        <x:v>Family Business</x:v>
      </x:c>
      <x:c r="C15" s="95" t="str">
        <x:v>Jerky Hotel / Motel</x:v>
      </x:c>
      <x:c r="D15" s="95" t="str">
        <x:v>Overnight danger while the apartment may be watched.</x:v>
      </x:c>
      <x:c r="E15" s="95" t="str">
        <x:v>Snow drops Tony after burial</x:v>
      </x:c>
      <x:c r="F15" s="95" t="str">
        <x:v>Getaway resolves; daylight return to old apartment.</x:v>
      </x:c>
      <x:c r="G15" s="95" t="str">
        <x:v>Motel-to-apartment handoff is connected</x:v>
      </x:c>
      <x:c r="H15" s="95" t="str">
        <x:v>CONNECTED</x:v>
      </x:c>
      <x:c r="I15" s="95" t="str">
        <x:v>Medium</x:v>
      </x:c>
      <x:c r="J15" s="95" t="str">
        <x:v>Keep score on the getaway, not arrival; move procedural speech into HUD.</x:v>
      </x:c>
      <x:c r="K15" s="95" t="str">
        <x:v>musicFirst</x:v>
      </x:c>
      <x:c r="L15" s="95" t="str">
        <x:v>P1</x:v>
      </x:c>
      <x:c r="M15" s="95" t="str">
        <x:v>src/motel/audio.js:24,1181</x:v>
      </x:c>
    </x:row>
    <x:row r="16" ht="46" customHeight="1">
      <x:c r="A16" s="107" t="str">
        <x:v>11</x:v>
      </x:c>
      <x:c r="B16" s="94" t="str">
        <x:v>Family Business</x:v>
      </x:c>
      <x:c r="C16" s="94" t="str">
        <x:v>Return to Old Apartment</x:v>
      </x:c>
      <x:c r="D16" s="94" t="str">
        <x:v>Decompress and show that normal life now feels different.</x:v>
      </x:c>
      <x:c r="E16" s="94" t="str">
        <x:v>Morning after motel</x:v>
      </x:c>
      <x:c r="F16" s="94" t="str">
        <x:v>Lou calls Tony into THE TAKE.</x:v>
      </x:c>
      <x:c r="G16" s="94" t="str">
        <x:v>Heist call is correctly gated</x:v>
      </x:c>
      <x:c r="H16" s="94" t="str">
        <x:v>CONNECTED</x:v>
      </x:c>
      <x:c r="I16" s="94" t="str">
        <x:v>Low</x:v>
      </x:c>
      <x:c r="J16" s="94" t="str">
        <x:v>Lead with motel news and a fresh five-minute episode.</x:v>
      </x:c>
      <x:c r="K16" s="94" t="str">
        <x:v>talkFirst</x:v>
      </x:c>
      <x:c r="L16" s="94" t="str">
        <x:v>KEEP</x:v>
      </x:c>
      <x:c r="M16" s="94" t="str">
        <x:v>src/core/apartment-story.js; src/core/campaign-spine.js</x:v>
      </x:c>
    </x:row>
    <x:row r="17" ht="46" customHeight="1">
      <x:c r="A17" s="108" t="str">
        <x:v>11½</x:v>
      </x:c>
      <x:c r="B17" s="95" t="str">
        <x:v>Family Business</x:v>
      </x:c>
      <x:c r="C17" s="95" t="str">
        <x:v>THE TAKE</x:v>
      </x:c>
      <x:c r="D17" s="95" t="str">
        <x:v>Robbery earns the home upgrade.</x:v>
      </x:c>
      <x:c r="E17" s="95" t="str">
        <x:v>Lou's call after motel return</x:v>
      </x:c>
      <x:c r="F17" s="95" t="str">
        <x:v>Debrief, home return, then new-space call.</x:v>
      </x:c>
      <x:c r="G17" s="95" t="str">
        <x:v>Placed correctly between beats 11 and 12</x:v>
      </x:c>
      <x:c r="H17" s="95" t="str">
        <x:v>CONNECTED</x:v>
      </x:c>
      <x:c r="I17" s="95" t="str">
        <x:v>Medium</x:v>
      </x:c>
      <x:c r="J17" s="95" t="str">
        <x:v>Keep tactics; rewrite the generic debrief as Lou judging Tony.</x:v>
      </x:c>
      <x:c r="K17" s="95" t="str">
        <x:v>musicFirst</x:v>
      </x:c>
      <x:c r="L17" s="95" t="str">
        <x:v>P1 debrief</x:v>
      </x:c>
      <x:c r="M17" s="95" t="str">
        <x:v>src/heist/main.js; docs/CAMPAIGN-STORY-BIBLE.md</x:v>
      </x:c>
    </x:row>
    <x:row r="18" ht="46" customHeight="1">
      <x:c r="A18" s="107" t="str">
        <x:v>12</x:v>
      </x:c>
      <x:c r="B18" s="94" t="str">
        <x:v>Moving Up</x:v>
      </x:c>
      <x:c r="C18" s="94" t="str">
        <x:v>Lou's New Space Call</x:v>
      </x:c>
      <x:c r="D18" s="94" t="str">
        <x:v>Kick off visible status growth and Silver Pines.</x:v>
      </x:c>
      <x:c r="E18" s="94" t="str">
        <x:v>THE TAKE complete and Tony home</x:v>
      </x:c>
      <x:c r="F18" s="94" t="str">
        <x:v>Next morning at Silver Pines.</x:v>
      </x:c>
      <x:c r="G18" s="94" t="str">
        <x:v>Order is correct and durable</x:v>
      </x:c>
      <x:c r="H18" s="94" t="str">
        <x:v>CONNECTED</x:v>
      </x:c>
      <x:c r="I18" s="94" t="str">
        <x:v>Low</x:v>
      </x:c>
      <x:c r="J18" s="94" t="str">
        <x:v>Use heist-news lead and new-space transition radio material.</x:v>
      </x:c>
      <x:c r="K18" s="94" t="str">
        <x:v>talkFirst</x:v>
      </x:c>
      <x:c r="L18" s="94" t="str">
        <x:v>KEEP</x:v>
      </x:c>
      <x:c r="M18" s="94" t="str">
        <x:v>src/core/apartment-story.js; src/core/campaign-spine.js</x:v>
      </x:c>
    </x:row>
    <x:row r="19" ht="46" customHeight="1">
      <x:c r="A19" s="108" t="str">
        <x:v>13</x:v>
      </x:c>
      <x:c r="B19" s="95" t="str">
        <x:v>Moving Up</x:v>
      </x:c>
      <x:c r="C19" s="95" t="str">
        <x:v>Silver Pines Golf Course</x:v>
      </x:c>
      <x:c r="D19" s="95" t="str">
        <x:v>Physical key handoff and acceptance into wealth/status tier.</x:v>
      </x:c>
      <x:c r="E19" s="95" t="str">
        <x:v>Arrival after new-space call</x:v>
      </x:c>
      <x:c r="F19" s="95" t="str">
        <x:v>Tony receives luxury keys and proceeds to the new home.</x:v>
      </x:c>
      <x:c r="G19" s="95" t="str">
        <x:v>Runtime route is connected; bible exit cell is blank</x:v>
      </x:c>
      <x:c r="H19" s="95" t="str">
        <x:v>CONNECTED / DOC GAP</x:v>
      </x:c>
      <x:c r="I19" s="95" t="str">
        <x:v>Medium</x:v>
      </x:c>
      <x:c r="J19" s="95" t="str">
        <x:v>Make cart music-first and enforce Nehoo 15s → dedicated ad.</x:v>
      </x:c>
      <x:c r="K19" s="95" t="str">
        <x:v>musicFirst</x:v>
      </x:c>
      <x:c r="L19" s="95" t="str">
        <x:v>P1-light</x:v>
      </x:c>
      <x:c r="M19" s="95" t="str">
        <x:v>src/golf/main.js:307,2235; docs/CAMPAIGN-STORY-BIBLE.md</x:v>
      </x:c>
    </x:row>
    <x:row r="20" ht="46" customHeight="1">
      <x:c r="A20" s="107" t="str">
        <x:v>14</x:v>
      </x:c>
      <x:c r="B20" s="94" t="str">
        <x:v>Moving Up</x:v>
      </x:c>
      <x:c r="C20" s="94" t="str">
        <x:v>Luxury Apartment Introduction</x:v>
      </x:c>
      <x:c r="D20" s="94" t="str">
        <x:v>Reveal the home/status upgrade and prep for the Margo date.</x:v>
      </x:c>
      <x:c r="E20" s="94" t="str">
        <x:v>After Silver Pines keys</x:v>
      </x:c>
      <x:c r="F20" s="94" t="str">
        <x:v>Leave for Front &amp; Center.</x:v>
      </x:c>
      <x:c r="G20" s="94" t="str">
        <x:v>Luxury home progression is connected</x:v>
      </x:c>
      <x:c r="H20" s="94" t="str">
        <x:v>CONNECTED</x:v>
      </x:c>
      <x:c r="I20" s="94" t="str">
        <x:v>Medium</x:v>
      </x:c>
      <x:c r="J20" s="94" t="str">
        <x:v>Auto-start one trusted-arrival packet after the player's start gesture.</x:v>
      </x:c>
      <x:c r="K20" s="94" t="str">
        <x:v>talkFirst</x:v>
      </x:c>
      <x:c r="L20" s="94" t="str">
        <x:v>KEEP</x:v>
      </x:c>
      <x:c r="M20" s="94" t="str">
        <x:v>src/luxury-apartment/main.js</x:v>
      </x:c>
    </x:row>
    <x:row r="21" ht="46" customHeight="1">
      <x:c r="A21" s="108" t="str">
        <x:v>15</x:v>
      </x:c>
      <x:c r="B21" s="95" t="str">
        <x:v>Moving Up</x:v>
      </x:c>
      <x:c r="C21" s="95" t="str">
        <x:v>Front &amp; Center / Margo Date</x:v>
      </x:c>
      <x:c r="D21" s="95" t="str">
        <x:v>Pay off the Margo invitation with a restrained relationship scene.</x:v>
      </x:c>
      <x:c r="E21" s="95" t="str">
        <x:v>Leave luxury apartment for date</x:v>
      </x:c>
      <x:c r="F21" s="95" t="str">
        <x:v>Margo returns home with Tony.</x:v>
      </x:c>
      <x:c r="G21" s="95" t="str">
        <x:v>Date-to-stayover handoff is connected</x:v>
      </x:c>
      <x:c r="H21" s="95" t="str">
        <x:v>CONNECTED</x:v>
      </x:c>
      <x:c r="I21" s="95" t="str">
        <x:v>Low</x:v>
      </x:c>
      <x:c r="J21" s="95" t="str">
        <x:v>Preserve the venue music arc and strong relationship dialogue.</x:v>
      </x:c>
      <x:c r="K21" s="95" t="str">
        <x:v>musicFirst</x:v>
      </x:c>
      <x:c r="L21" s="95" t="str">
        <x:v>KEEP</x:v>
      </x:c>
      <x:c r="M21" s="95" t="str">
        <x:v>src/silver/main.js; src/silver/music.js</x:v>
      </x:c>
    </x:row>
    <x:row r="22" ht="46" customHeight="1">
      <x:c r="A22" s="107" t="str">
        <x:v>16</x:v>
      </x:c>
      <x:c r="B22" s="94" t="str">
        <x:v>Moving Up</x:v>
      </x:c>
      <x:c r="C22" s="94" t="str">
        <x:v>Margo Stayover</x:v>
      </x:c>
      <x:c r="D22" s="94" t="str">
        <x:v>Quiet personal payoff before criminal escalation.</x:v>
      </x:c>
      <x:c r="E22" s="94" t="str">
        <x:v>Direct continuation from date</x:v>
      </x:c>
      <x:c r="F22" s="94" t="str">
        <x:v>Fade into following morning.</x:v>
      </x:c>
      <x:c r="G22" s="94" t="str">
        <x:v>Stayover is connected and durable</x:v>
      </x:c>
      <x:c r="H22" s="94" t="str">
        <x:v>CONNECTED</x:v>
      </x:c>
      <x:c r="I22" s="94" t="str">
        <x:v>Low</x:v>
      </x:c>
      <x:c r="J22" s="94" t="str">
        <x:v>Use a distinct late-night hub packet; do not interrupt with work calls.</x:v>
      </x:c>
      <x:c r="K22" s="94" t="str">
        <x:v>talkFirst</x:v>
      </x:c>
      <x:c r="L22" s="94" t="str">
        <x:v>KEEP</x:v>
      </x:c>
      <x:c r="M22" s="94" t="str">
        <x:v>src/luxury-apartment/main.js</x:v>
      </x:c>
    </x:row>
    <x:row r="23" ht="46" customHeight="1">
      <x:c r="A23" s="108" t="str">
        <x:v>17</x:v>
      </x:c>
      <x:c r="B23" s="95" t="str">
        <x:v>Moving Up</x:v>
      </x:c>
      <x:c r="C23" s="95" t="str">
        <x:v>Luxury Apartment Morning</x:v>
      </x:c>
      <x:c r="D23" s="95" t="str">
        <x:v>Let Margo leave, then allow the No Wake setup call.</x:v>
      </x:c>
      <x:c r="E23" s="95" t="str">
        <x:v>Wake after stayover</x:v>
      </x:c>
      <x:c r="F23" s="95" t="str">
        <x:v>Quiet window, then dock mission call.</x:v>
      </x:c>
      <x:c r="G23" s="95" t="str">
        <x:v>Morning-to-No Wake gate is connected</x:v>
      </x:c>
      <x:c r="H23" s="95" t="str">
        <x:v>CONNECTED</x:v>
      </x:c>
      <x:c r="I23" s="95" t="str">
        <x:v>Low</x:v>
      </x:c>
      <x:c r="J23" s="95" t="str">
        <x:v>Use a morning show packet with a fresh wire; distinguish service replies.</x:v>
      </x:c>
      <x:c r="K23" s="95" t="str">
        <x:v>talkFirst</x:v>
      </x:c>
      <x:c r="L23" s="95" t="str">
        <x:v>P1-light</x:v>
      </x:c>
      <x:c r="M23" s="95" t="str">
        <x:v>src/luxury-apartment/main.js</x:v>
      </x:c>
    </x:row>
    <x:row r="24" ht="46" customHeight="1">
      <x:c r="A24" s="107" t="str">
        <x:v>18</x:v>
      </x:c>
      <x:c r="B24" s="94" t="str">
        <x:v>Moving Up</x:v>
      </x:c>
      <x:c r="C24" s="94" t="str">
        <x:v>No Wake</x:v>
      </x:c>
      <x:c r="D24" s="94" t="str">
        <x:v>Trust milestone: Tony witnesses and assists an internal execution.</x:v>
      </x:c>
      <x:c r="E24" s="94" t="str">
        <x:v>Report to dock after Margo leaves</x:v>
      </x:c>
      <x:c r="F24" s="94" t="str">
        <x:v>Cleanup finishes; Tony returns home.</x:v>
      </x:c>
      <x:c r="G24" s="94" t="str">
        <x:v>State and resume gates now pass</x:v>
      </x:c>
      <x:c r="H24" s="94" t="str">
        <x:v>CONNECTED</x:v>
      </x:c>
      <x:c r="I24" s="94" t="str">
        <x:v>Medium</x:v>
      </x:c>
      <x:c r="J24" s="94" t="str">
        <x:v>Keep the four-second radio shutoff gag, then offer music-first optional playback later.</x:v>
      </x:c>
      <x:c r="K24" s="94" t="str">
        <x:v>authoredInterrupt</x:v>
      </x:c>
      <x:c r="L24" s="94" t="str">
        <x:v>OWNER / KEEP</x:v>
      </x:c>
      <x:c r="M24" s="94" t="str">
        <x:v>src/nowake/main.js:249,585,839</x:v>
      </x:c>
    </x:row>
    <x:row r="25" ht="46" customHeight="1">
      <x:c r="A25" s="108" t="str">
        <x:v>19</x:v>
      </x:c>
      <x:c r="B25" s="95" t="str">
        <x:v>Moving Up</x:v>
      </x:c>
      <x:c r="C25" s="95" t="str">
        <x:v>Luxury Apartment Return</x:v>
      </x:c>
      <x:c r="D25" s="95" t="str">
        <x:v>Decompress after the lake and set up the Silver Case.</x:v>
      </x:c>
      <x:c r="E25" s="95" t="str">
        <x:v>Return from dock</x:v>
      </x:c>
      <x:c r="F25" s="95" t="str">
        <x:v>Sensitive-case call follows quiet period.</x:v>
      </x:c>
      <x:c r="G25" s="95" t="str">
        <x:v>Return-to-case setup is connected</x:v>
      </x:c>
      <x:c r="H25" s="95" t="str">
        <x:v>CONNECTED</x:v>
      </x:c>
      <x:c r="I25" s="95" t="str">
        <x:v>Low</x:v>
      </x:c>
      <x:c r="J25" s="95" t="str">
        <x:v>Lead with lake news and a distinct early-evening packet.</x:v>
      </x:c>
      <x:c r="K25" s="95" t="str">
        <x:v>talkFirst</x:v>
      </x:c>
      <x:c r="L25" s="95" t="str">
        <x:v>KEEP</x:v>
      </x:c>
      <x:c r="M25" s="95" t="str">
        <x:v>src/luxury-apartment/main.js</x:v>
      </x:c>
    </x:row>
    <x:row r="26" ht="46" customHeight="1">
      <x:c r="A26" s="107" t="str">
        <x:v>20</x:v>
      </x:c>
      <x:c r="B26" s="94" t="str">
        <x:v>Inner Circle</x:v>
      </x:c>
      <x:c r="C26" s="94" t="str">
        <x:v>Silver Case Setup</x:v>
      </x:c>
      <x:c r="D26" s="94" t="str">
        <x:v>Put the sensitive case in Tony's hands.</x:v>
      </x:c>
      <x:c r="E26" s="94" t="str">
        <x:v>Call after No Wake return</x:v>
      </x:c>
      <x:c r="F26" s="94" t="str">
        <x:v>Deliver directly to Lou at the mansion.</x:v>
      </x:c>
      <x:c r="G26" s="94" t="str">
        <x:v>Case pickup and mansion handoff are connected</x:v>
      </x:c>
      <x:c r="H26" s="94" t="str">
        <x:v>CONNECTED</x:v>
      </x:c>
      <x:c r="I26" s="94" t="str">
        <x:v>Low</x:v>
      </x:c>
      <x:c r="J26" s="94" t="str">
        <x:v>Add a pickup-car song and one short host link without crowding dialogue.</x:v>
      </x:c>
      <x:c r="K26" s="94" t="str">
        <x:v>musicFirst</x:v>
      </x:c>
      <x:c r="L26" s="94" t="str">
        <x:v>KEEP</x:v>
      </x:c>
      <x:c r="M26" s="94" t="str">
        <x:v>src/silvercase/main.js; src/core/campaign-spine.js</x:v>
      </x:c>
    </x:row>
    <x:row r="27" ht="46" customHeight="1">
      <x:c r="A27" s="108" t="str">
        <x:v>21</x:v>
      </x:c>
      <x:c r="B27" s="95" t="str">
        <x:v>Inner Circle</x:v>
      </x:c>
      <x:c r="C27" s="95" t="str">
        <x:v>Silver Case → Mansion</x:v>
      </x:c>
      <x:c r="D27" s="95" t="str">
        <x:v>Reveal Squatchanium and route Tony into the basement lab.</x:v>
      </x:c>
      <x:c r="E27" s="95" t="str">
        <x:v>Arrive carrying the case</x:v>
      </x:c>
      <x:c r="F27" s="95" t="str">
        <x:v>Lou sends case to Booski downstairs.</x:v>
      </x:c>
      <x:c r="G27" s="95" t="str">
        <x:v>Direct mansion continuation is connected</x:v>
      </x:c>
      <x:c r="H27" s="95" t="str">
        <x:v>CONNECTED</x:v>
      </x:c>
      <x:c r="I27" s="95" t="str">
        <x:v>Low</x:v>
      </x:c>
      <x:c r="J27" s="95" t="str">
        <x:v>Begin a mansion-specific five-minute house episode after the reveal.</x:v>
      </x:c>
      <x:c r="K27" s="95" t="str">
        <x:v>talkFirst</x:v>
      </x:c>
      <x:c r="L27" s="95" t="str">
        <x:v>KEEP</x:v>
      </x:c>
      <x:c r="M27" s="95" t="str">
        <x:v>src/mansion/main.js; src/silvercase/main.js</x:v>
      </x:c>
    </x:row>
    <x:row r="28" ht="46" customHeight="1">
      <x:c r="A28" s="107" t="str">
        <x:v>22</x:v>
      </x:c>
      <x:c r="B28" s="94" t="str">
        <x:v>Inner Circle</x:v>
      </x:c>
      <x:c r="C28" s="94" t="str">
        <x:v>Mansion / Silent Squatch</x:v>
      </x:c>
      <x:c r="D28" s="94" t="str">
        <x:v>Expose the deepest family secret, then establish guest-room safety.</x:v>
      </x:c>
      <x:c r="E28" s="94" t="str">
        <x:v>Direct continuation after case reveal</x:v>
      </x:c>
      <x:c r="F28" s="94" t="str">
        <x:v>Downtime, guest room, sleep.</x:v>
      </x:c>
      <x:c r="G28" s="94" t="str">
        <x:v>Mansion state flows into Siege</x:v>
      </x:c>
      <x:c r="H28" s="94" t="str">
        <x:v>CONNECTED</x:v>
      </x:c>
      <x:c r="I28" s="94" t="str">
        <x:v>Medium</x:v>
      </x:c>
      <x:c r="J28" s="94" t="str">
        <x:v>Replace generic scientist pleas with specialty-specific panic.</x:v>
      </x:c>
      <x:c r="K28" s="94" t="str">
        <x:v>talkFirst</x:v>
      </x:c>
      <x:c r="L28" s="94" t="str">
        <x:v>P1</x:v>
      </x:c>
      <x:c r="M28" s="94" t="str">
        <x:v>src/mansion/script.js:605-615</x:v>
      </x:c>
    </x:row>
    <x:row r="29" ht="46" customHeight="1">
      <x:c r="A29" s="108" t="str">
        <x:v>23</x:v>
      </x:c>
      <x:c r="B29" s="95" t="str">
        <x:v>War</x:v>
      </x:c>
      <x:c r="C29" s="95" t="str">
        <x:v>Mansion Siege</x:v>
      </x:c>
      <x:c r="D29" s="95" t="str">
        <x:v>Wake into attack and establish the A-Team enemy.</x:v>
      </x:c>
      <x:c r="E29" s="95" t="str">
        <x:v>Guest room wake to gunfire</x:v>
      </x:c>
      <x:c r="F29" s="95" t="str">
        <x:v>Recovered route package triggers Enola retaliation.</x:v>
      </x:c>
      <x:c r="G29" s="95" t="str">
        <x:v>Siege-to-Enola route is connected</x:v>
      </x:c>
      <x:c r="H29" s="95" t="str">
        <x:v>CONNECTED</x:v>
      </x:c>
      <x:c r="I29" s="95" t="str">
        <x:v>Low</x:v>
      </x:c>
      <x:c r="J29" s="95" t="str">
        <x:v>Preserve speech space; use combat music only if it does not mask callouts.</x:v>
      </x:c>
      <x:c r="K29" s="95" t="str">
        <x:v>intentionalSilence</x:v>
      </x:c>
      <x:c r="L29" s="95" t="str">
        <x:v>KEEP</x:v>
      </x:c>
      <x:c r="M29" s="95" t="str">
        <x:v>src/mansion-siege/main.js; src/core/campaign-spine.js</x:v>
      </x:c>
    </x:row>
    <x:row r="30" ht="46" customHeight="1">
      <x:c r="A30" s="107" t="str">
        <x:v>24</x:v>
      </x:c>
      <x:c r="B30" s="94" t="str">
        <x:v>War</x:v>
      </x:c>
      <x:c r="C30" s="94" t="str">
        <x:v>SQUATCHOLA GAY / Enola</x:v>
      </x:c>
      <x:c r="D30" s="94" t="str">
        <x:v>Immediate counterstrike and dark wrong-city payoff.</x:v>
      </x:c>
      <x:c r="E30" s="94" t="str">
        <x:v>Lou sends Tony to Sasole</x:v>
      </x:c>
      <x:c r="F30" s="94" t="str">
        <x:v>Return after destruction and time jump.</x:v>
      </x:c>
      <x:c r="G30" s="94" t="str">
        <x:v>Enola-to-Mansion Return is connected</x:v>
      </x:c>
      <x:c r="H30" s="94" t="str">
        <x:v>CONNECTED</x:v>
      </x:c>
      <x:c r="I30" s="94" t="str">
        <x:v>Medium</x:v>
      </x:c>
      <x:c r="J30" s="94" t="str">
        <x:v>Keep the three-part music arc; replace shooter quips with panic/guilt.</x:v>
      </x:c>
      <x:c r="K30" s="94" t="str">
        <x:v>musicFirst</x:v>
      </x:c>
      <x:c r="L30" s="94" t="str">
        <x:v>P2</x:v>
      </x:c>
      <x:c r="M30" s="94" t="str">
        <x:v>src/enolasquatch/main.js; src/enolasquatch/audio.js</x:v>
      </x:c>
    </x:row>
    <x:row r="31" ht="46" customHeight="1">
      <x:c r="A31" s="108" t="str">
        <x:v>25</x:v>
      </x:c>
      <x:c r="B31" s="95" t="str">
        <x:v>War</x:v>
      </x:c>
      <x:c r="C31" s="95" t="str">
        <x:v>Repaired Mansion</x:v>
      </x:c>
      <x:c r="D31" s="95" t="str">
        <x:v>Reveal wrong city, Sauce missing, and the estate trace.</x:v>
      </x:c>
      <x:c r="E31" s="95" t="str">
        <x:v>Return after repair time jump</x:v>
      </x:c>
      <x:c r="F31" s="95" t="str">
        <x:v>Tony is sent alone to the rival estate.</x:v>
      </x:c>
      <x:c r="G31" s="95" t="str">
        <x:v>Evidence ordering is strong</x:v>
      </x:c>
      <x:c r="H31" s="95" t="str">
        <x:v>CONNECTED</x:v>
      </x:c>
      <x:c r="I31" s="95" t="str">
        <x:v>Low</x:v>
      </x:c>
      <x:c r="J31" s="95" t="str">
        <x:v>Use a unique repaired-house program; preserve writing verbatim.</x:v>
      </x:c>
      <x:c r="K31" s="95" t="str">
        <x:v>talkFirst</x:v>
      </x:c>
      <x:c r="L31" s="95" t="str">
        <x:v>KEEP</x:v>
      </x:c>
      <x:c r="M31" s="95" t="str">
        <x:v>src/mansion/main.js</x:v>
      </x:c>
    </x:row>
    <x:row r="32" ht="46" customHeight="1">
      <x:c r="A32" s="107" t="str">
        <x:v>26</x:v>
      </x:c>
      <x:c r="B32" s="94" t="str">
        <x:v>War</x:v>
      </x:c>
      <x:c r="C32" s="94" t="str">
        <x:v>Cartel Palace</x:v>
      </x:c>
      <x:c r="D32" s="94" t="str">
        <x:v>Dismantle rival operation and prove loyalty.</x:v>
      </x:c>
      <x:c r="E32" s="94" t="str">
        <x:v>Arrive from mansion estate trace</x:v>
      </x:c>
      <x:c r="F32" s="94" t="str">
        <x:v>Return home with proof and initiation approval.</x:v>
      </x:c>
      <x:c r="G32" s="94" t="str">
        <x:v>Palace-to-luxury route is connected</x:v>
      </x:c>
      <x:c r="H32" s="94" t="str">
        <x:v>CONNECTED</x:v>
      </x:c>
      <x:c r="I32" s="94" t="str">
        <x:v>Low</x:v>
      </x:c>
      <x:c r="J32" s="94" t="str">
        <x:v>Add arrival/compound source music; preserve evidence reveal order.</x:v>
      </x:c>
      <x:c r="K32" s="94" t="str">
        <x:v>musicFirst</x:v>
      </x:c>
      <x:c r="L32" s="94" t="str">
        <x:v>KEEP</x:v>
      </x:c>
      <x:c r="M32" s="94" t="str">
        <x:v>src/cartel-palace/main.js; src/core/campaign.js:1727-1744</x:v>
      </x:c>
    </x:row>
    <x:row r="33" ht="46" customHeight="1">
      <x:c r="A33" s="108" t="str">
        <x:v>27</x:v>
      </x:c>
      <x:c r="B33" s="95" t="str">
        <x:v>This Thing of Ours</x:v>
      </x:c>
      <x:c r="C33" s="95" t="str">
        <x:v>Luxury Apartment: Special Meeting</x:v>
      </x:c>
      <x:c r="D33" s="95" t="str">
        <x:v>Decompress, receive suspicious call, and prepare for pickup.</x:v>
      </x:c>
      <x:c r="E33" s="95" t="str">
        <x:v>Return home after Palace</x:v>
      </x:c>
      <x:c r="F33" s="95" t="str">
        <x:v>Booski call; wait for Seff, Lag, and Numbskull.</x:v>
      </x:c>
      <x:c r="G33" s="95" t="str">
        <x:v>Shared SM-010…SM-090 home prelude is reachable in Luxury; answered saves replay safely</x:v>
      </x:c>
      <x:c r="H33" s="95" t="str">
        <x:v>CONNECTED</x:v>
      </x:c>
      <x:c r="I33" s="95" t="str">
        <x:v>Medium</x:v>
      </x:c>
      <x:c r="J33" s="95" t="str">
        <x:v>Keep the restored shared prelude and real Beat 27 browser path certified.</x:v>
      </x:c>
      <x:c r="K33" s="95" t="str">
        <x:v>talkFirst</x:v>
      </x:c>
      <x:c r="L33" s="95" t="str">
        <x:v>KEEP writing / P0 reachability</x:v>
      </x:c>
      <x:c r="M33" s="95" t="str">
        <x:v>src/core/special-meeting-home-prelude.js; tools/verify-luxury-apartment.mjs</x:v>
      </x:c>
    </x:row>
    <x:row r="34" ht="46" customHeight="1">
      <x:c r="A34" s="107" t="str">
        <x:v>28</x:v>
      </x:c>
      <x:c r="B34" s="94" t="str">
        <x:v>This Thing of Ours</x:v>
      </x:c>
      <x:c r="C34" s="94" t="str">
        <x:v>Pickup / Ride</x:v>
      </x:c>
      <x:c r="D34" s="94" t="str">
        <x:v>Create execution dread before the initiation reveal.</x:v>
      </x:c>
      <x:c r="E34" s="94" t="str">
        <x:v>Tony exits to street; crew car arrives</x:v>
      </x:c>
      <x:c r="F34" s="94" t="str">
        <x:v>Tense ride reaches the initiation cabin.</x:v>
      </x:c>
      <x:c r="G34" s="94" t="str">
        <x:v>Forest-spur resume, ride, and delivered two-second radio gag are wired</x:v>
      </x:c>
      <x:c r="H34" s="94" t="str">
        <x:v>CONNECTED</x:v>
      </x:c>
      <x:c r="I34" s="94" t="str">
        <x:v>Low</x:v>
      </x:c>
      <x:c r="J34" s="94" t="str">
        <x:v>Preserve the exact two-second announcer cut; avoid longer talk over dread.</x:v>
      </x:c>
      <x:c r="K34" s="94" t="str">
        <x:v>authoredInterrupt</x:v>
      </x:c>
      <x:c r="L34" s="94" t="str">
        <x:v>KEEP</x:v>
      </x:c>
      <x:c r="M34" s="94" t="str">
        <x:v>src/specialmeeting/radio-gag.js; tools/verify-specialmeeting.mjs</x:v>
      </x:c>
    </x:row>
    <x:row r="35" ht="46" customHeight="1">
      <x:c r="A35" s="109" t="str">
        <x:v>29</x:v>
      </x:c>
      <x:c r="B35" s="96" t="str">
        <x:v>This Thing of Ours</x:v>
      </x:c>
      <x:c r="C35" s="96" t="str">
        <x:v>Initiation Cabin</x:v>
      </x:c>
      <x:c r="D35" s="96" t="str">
        <x:v>Complete the made-member ceremony and campaign arc.</x:v>
      </x:c>
      <x:c r="E35" s="96" t="str">
        <x:v>Ride arrives at old-country cabin</x:v>
      </x:c>
      <x:c r="F35" s="96" t="str">
        <x:v>Credits, then the developer preview replay portal.</x:v>
      </x:c>
      <x:c r="G35" s="96" t="str">
        <x:v>Credits completion reveals a durable Click here to replay anything button to preview.html</x:v>
      </x:c>
      <x:c r="H35" s="96" t="str">
        <x:v>CONNECTED</x:v>
      </x:c>
      <x:c r="I35" s="96" t="str">
        <x:v>Low</x:v>
      </x:c>
      <x:c r="J35" s="96" t="str">
        <x:v>Preserve slow stereo cabin music before the oath and silence through oath/end.</x:v>
      </x:c>
      <x:c r="K35" s="96" t="str">
        <x:v>musicFirst → intentionalSilence</x:v>
      </x:c>
      <x:c r="L35" s="96" t="str">
        <x:v>FROZEN / Erican debt</x:v>
      </x:c>
      <x:c r="M35" s="96" t="str">
        <x:v>src/initiation/finale.js; src/initiation/cabin/ambience.js; tools/verify-initiation.mjs</x:v>
      </x:c>
    </x:row>
  </x:sheetData>
  <x:mergeCells>
    <x:mergeCell ref="A1:M1"/>
    <x:mergeCell ref="A2:M2"/>
  </x:mergeCells>
  <x:conditionalFormatting sqref="H5:H35">
    <x:cfRule type="containsText" dxfId="34" priority="1" operator="containsText" text="P0"/>
    <x:cfRule type="containsText" dxfId="35" priority="2" operator="containsText" text="FAIL"/>
    <x:cfRule type="containsText" dxfId="36" priority="3" operator="containsText" text="BROKEN"/>
    <x:cfRule type="containsText" dxfId="37" priority="4" operator="containsText" text="MISSING"/>
    <x:cfRule type="containsText" dxfId="38" priority="5" operator="containsText" text="DEBT"/>
    <x:cfRule type="containsText" dxfId="39" priority="6" operator="containsText" text="P1"/>
    <x:cfRule type="containsText" dxfId="40" priority="7" operator="containsText" text="OWNER"/>
    <x:cfRule type="containsText" dxfId="41" priority="8" operator="containsText" text="RERECORD"/>
    <x:cfRule type="containsText" dxfId="42" priority="9" operator="containsText" text="PARTIAL"/>
    <x:cfRule type="containsText" dxfId="43" priority="10" operator="containsText" text="P2"/>
    <x:cfRule type="containsText" dxfId="44" priority="11" operator="containsText" text="CONNECTED"/>
    <x:cfRule type="containsText" dxfId="45" priority="12" operator="containsText" text="PASS"/>
    <x:cfRule type="containsText" dxfId="46" priority="13" operator="containsText" text="KEEP"/>
    <x:cfRule type="containsText" dxfId="47" priority="14" operator="containsText" text="EXISTING"/>
    <x:cfRule type="containsText" dxfId="48" priority="15" operator="containsText" text="P3"/>
    <x:cfRule type="containsText" dxfId="49" priority="16" operator="containsText" text="FROZEN"/>
    <x:cfRule type="containsText" dxfId="50" priority="17" operator="containsText" text="NEW"/>
  </x:conditionalFormatting>
  <x:conditionalFormatting sqref="L5:L35">
    <x:cfRule type="containsText" dxfId="51" priority="18" operator="containsText" text="P0"/>
    <x:cfRule type="containsText" dxfId="52" priority="19" operator="containsText" text="FAIL"/>
    <x:cfRule type="containsText" dxfId="53" priority="20" operator="containsText" text="BROKEN"/>
    <x:cfRule type="containsText" dxfId="54" priority="21" operator="containsText" text="MISSING"/>
    <x:cfRule type="containsText" dxfId="55" priority="22" operator="containsText" text="DEBT"/>
    <x:cfRule type="containsText" dxfId="56" priority="23" operator="containsText" text="P1"/>
    <x:cfRule type="containsText" dxfId="57" priority="24" operator="containsText" text="OWNER"/>
    <x:cfRule type="containsText" dxfId="58" priority="25" operator="containsText" text="RERECORD"/>
    <x:cfRule type="containsText" dxfId="59" priority="26" operator="containsText" text="PARTIAL"/>
    <x:cfRule type="containsText" dxfId="60" priority="27" operator="containsText" text="P2"/>
    <x:cfRule type="containsText" dxfId="61" priority="28" operator="containsText" text="CONNECTED"/>
    <x:cfRule type="containsText" dxfId="62" priority="29" operator="containsText" text="PASS"/>
    <x:cfRule type="containsText" dxfId="63" priority="30" operator="containsText" text="KEEP"/>
    <x:cfRule type="containsText" dxfId="64" priority="31" operator="containsText" text="EXISTING"/>
    <x:cfRule type="containsText" dxfId="65" priority="32" operator="containsText" text="P3"/>
    <x:cfRule type="containsText" dxfId="66" priority="33" operator="containsText" text="FROZEN"/>
    <x:cfRule type="containsText" dxfId="67" priority="34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01f67f1f62264c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5" hidden="0" customWidth="1"/>
    <x:col min="4" max="4" width="25" hidden="0" customWidth="1"/>
    <x:col min="5" max="5" width="25" hidden="0" customWidth="1"/>
    <x:col min="6" max="6" width="40" hidden="0" customWidth="1"/>
    <x:col min="7" max="7" width="15" hidden="0" customWidth="1"/>
    <x:col min="8" max="8" width="22" hidden="0" customWidth="1"/>
    <x:col min="9" max="9" width="36" hidden="0" customWidth="1"/>
    <x:col min="10" max="10" width="19" hidden="0" customWidth="1"/>
    <x:col min="11" max="11" width="17" hidden="0" customWidth="1"/>
    <x:col min="12" max="12" width="52" hidden="0" customWidth="1"/>
    <x:col min="13" max="13" width="36" hidden="0" customWidth="1"/>
    <x:col min="14" max="14" width="40" hidden="0" customWidth="1"/>
  </x:cols>
  <x:sheetData>
    <x:row r="1" ht="32" customHeight="1">
      <x:c r="A1" s="136" t="str">
        <x:v>RADIO BY SCENE · IMPLEMENTED PROGRAM ORDER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</x:row>
    <x:row r="2" ht="34" customHeight="1">
      <x:c r="A2" s="7" t="str">
        <x:v>Curated player-facing summary. The adjacent Live Radio Manifest is the mechanically generated runtime authority for beat policy, receiver, program, block order, stable song ID, resume key, and campaign-news behavior.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</x:row>
    <x:row r="4" ht="34" customHeight="1">
      <x:c r="A4" s="105" t="str">
        <x:v>Beat</x:v>
      </x:c>
      <x:c r="B4" s="105" t="str">
        <x:v>Scene</x:v>
      </x:c>
      <x:c r="C4" s="105" t="str">
        <x:v>Receiver / source</x:v>
      </x:c>
      <x:c r="D4" s="105" t="str">
        <x:v>Current power / entry</x:v>
      </x:c>
      <x:c r="E4" s="105" t="str">
        <x:v>Current clock / show</x:v>
      </x:c>
      <x:c r="F4" s="105" t="str">
        <x:v>Current order / behavior</x:v>
      </x:c>
      <x:c r="G4" s="105" t="str">
        <x:v>Campaign news</x:v>
      </x:c>
      <x:c r="H4" s="105" t="str">
        <x:v>Reachability</x:v>
      </x:c>
      <x:c r="I4" s="105" t="str">
        <x:v>Current defect</x:v>
      </x:c>
      <x:c r="J4" s="105" t="str">
        <x:v>Proposed program</x:v>
      </x:c>
      <x:c r="K4" s="105" t="str">
        <x:v>Policy</x:v>
      </x:c>
      <x:c r="L4" s="105" t="str">
        <x:v>Proposed ordered playback</x:v>
      </x:c>
      <x:c r="M4" s="105" t="str">
        <x:v>Validation outcome</x:v>
      </x:c>
      <x:c r="N4" s="105" t="str">
        <x:v>Evidence</x:v>
      </x:c>
    </x:row>
    <x:row r="5" ht="46" customHeight="1">
      <x:c r="A5" s="93" t="str">
        <x:v>0</x:v>
      </x:c>
      <x:c r="B5" s="93" t="str">
        <x:v>Squatch Smash Intro</x:v>
      </x:c>
      <x:c r="C5" s="93" t="str">
        <x:v>None</x:v>
      </x:c>
      <x:c r="D5" s="93" t="str">
        <x:v>N/A</x:v>
      </x:c>
      <x:c r="E5" s="93" t="str">
        <x:v>N/A</x:v>
      </x:c>
      <x:c r="F5" s="93" t="str">
        <x:v>No radio or score</x:v>
      </x:c>
      <x:c r="G5" s="93" t="str">
        <x:v>N/A</x:v>
      </x:c>
      <x:c r="H5" s="93" t="str">
        <x:v>Intentional</x:v>
      </x:c>
      <x:c r="I5" s="93" t="str">
        <x:v>None</x:v>
      </x:c>
      <x:c r="J5" s="93" t="str">
        <x:v>—</x:v>
      </x:c>
      <x:c r="K5" s="93" t="str">
        <x:v>none</x:v>
      </x:c>
      <x:c r="L5" s="93" t="str">
        <x:v>Silence / game audio only</x:v>
      </x:c>
      <x:c r="M5" s="93" t="str">
        <x:v>PASS if the fake-out remains clear</x:v>
      </x:c>
      <x:c r="N5" s="93" t="str">
        <x:v>src/main.js</x:v>
      </x:c>
    </x:row>
    <x:row r="6" ht="46" customHeight="1">
      <x:c r="A6" s="94" t="str">
        <x:v>1</x:v>
      </x:c>
      <x:c r="B6" s="94" t="str">
        <x:v>First Apartment</x:v>
      </x:c>
      <x:c r="C6" s="94" t="str">
        <x:v>97.8 apartment receiver</x:v>
      </x:c>
      <x:c r="D6" s="94" t="str">
        <x:v>Forced on during cold open</x:v>
      </x:c>
      <x:c r="E6" s="94" t="str">
        <x:v>Day 1 06:04 / Lou &amp; Lou</x:v>
      </x:c>
      <x:c r="F6" s="94" t="str">
        <x:v>Show intro → global 21-slot cycle; six-song pool</x:v>
      </x:c>
      <x:c r="G6" s="94" t="str">
        <x:v>Enabled</x:v>
      </x:c>
      <x:c r="H6" s="94" t="str">
        <x:v>Strong / automatic</x:v>
      </x:c>
      <x:c r="I6" s="94" t="str">
        <x:v>Ident overlaps intro; station promo consumes ~131s; no scene ownership</x:v>
      </x:c>
      <x:c r="J6" s="94" t="str">
        <x:v>H-APT-01</x:v>
      </x:c>
      <x:c r="K6" s="94" t="str">
        <x:v>talkFirst</x:v>
      </x:c>
      <x:c r="L6" s="94" t="str">
        <x:v>Ident → new Day One Lou &amp; Lou → Good Ole Days 30s → meeting notice/ad → new talk → Cosmic Drift 30s → link</x:v>
      </x:c>
      <x:c r="M6" s="94" t="str">
        <x:v>300s unique packet, then global rotation</x:v>
      </x:c>
      <x:c r="N6" s="94" t="str">
        <x:v>src/main.js:385; src/core/radio.js:638-659</x:v>
      </x:c>
    </x:row>
    <x:row r="7" ht="46" customHeight="1">
      <x:c r="A7" s="95" t="str">
        <x:v>2</x:v>
      </x:c>
      <x:c r="B7" s="95" t="str">
        <x:v>Bada Bing I</x:v>
      </x:c>
      <x:c r="C7" s="95" t="str">
        <x:v>Car 97.8 + club DJ + office radio</x:v>
      </x:c>
      <x:c r="D7" s="95" t="str">
        <x:v>Car follows saved preference; club sources automatic</x:v>
      </x:c>
      <x:c r="E7" s="95" t="str">
        <x:v>Late night / Hog Mama</x:v>
      </x:c>
      <x:c r="F7" s="95" t="str">
        <x:v>Car resumes global cycle; DJ starts Sallie J; office loops Good Ole Days</x:v>
      </x:c>
      <x:c r="G7" s="95" t="str">
        <x:v>Disabled</x:v>
      </x:c>
      <x:c r="H7" s="95" t="str">
        <x:v>Car ~6.4s; venue music strong</x:v>
      </x:c>
      <x:c r="I7" s="95" t="str">
        <x:v>Ordinary player exits before first host block lands</x:v>
      </x:c>
      <x:c r="J7" s="95" t="str">
        <x:v>CAR-BING-01</x:v>
      </x:c>
      <x:c r="K7" s="95" t="str">
        <x:v>musicFirst</x:v>
      </x:c>
      <x:c r="L7" s="95" t="str">
        <x:v>Car song 30s → new 15–30s Hog Mama link; preserve Sallie J / office loop / stings</x:v>
      </x:c>
      <x:c r="M7" s="95" t="str">
        <x:v>First car block must survive Q prompt</x:v>
      </x:c>
      <x:c r="N7" s="95" t="str">
        <x:v>src/bing/main.js:784,2424,3085</x:v>
      </x:c>
    </x:row>
    <x:row r="8" ht="46" customHeight="1">
      <x:c r="A8" s="94" t="str">
        <x:v>3</x:v>
      </x:c>
      <x:c r="B8" s="94" t="str">
        <x:v>The Squatchfather</x:v>
      </x:c>
      <x:c r="C8" s="94" t="str">
        <x:v>No current source</x:v>
      </x:c>
      <x:c r="D8" s="94" t="str">
        <x:v>N/A</x:v>
      </x:c>
      <x:c r="E8" s="94" t="str">
        <x:v>N/A</x:v>
      </x:c>
      <x:c r="F8" s="94" t="str">
        <x:v>None</x:v>
      </x:c>
      <x:c r="G8" s="94" t="str">
        <x:v>Disabled</x:v>
      </x:c>
      <x:c r="H8" s="94" t="str">
        <x:v>None</x:v>
      </x:c>
      <x:c r="I8" s="94" t="str">
        <x:v>Scene has no diegetic music texture</x:v>
      </x:c>
      <x:c r="J8" s="94" t="str">
        <x:v>SRC-SQF-01</x:v>
      </x:c>
      <x:c r="K8" s="94" t="str">
        <x:v>musicFirst</x:v>
      </x:c>
      <x:c r="L8" s="94" t="str">
        <x:v>Restaurant room record / source radio song → short instrumental tail</x:v>
      </x:c>
      <x:c r="M8" s="94" t="str">
        <x:v>No talk over confrontation</x:v>
      </x:c>
      <x:c r="N8" s="94" t="str">
        <x:v>src/squatchfather/main.js</x:v>
      </x:c>
    </x:row>
    <x:row r="9" ht="46" customHeight="1">
      <x:c r="A9" s="95" t="str">
        <x:v>4</x:v>
      </x:c>
      <x:c r="B9" s="95" t="str">
        <x:v>Cabin I: Lay Low</x:v>
      </x:c>
      <x:c r="C9" s="95" t="str">
        <x:v>97.8 cabin inside/firepit</x:v>
      </x:c>
      <x:c r="D9" s="95" t="str">
        <x:v>Forced on at scene start</x:v>
      </x:c>
      <x:c r="E9" s="95" t="str">
        <x:v>Arrival 05:20 / Automated Overnight</x:v>
      </x:c>
      <x:c r="F9" s="95" t="str">
        <x:v>Global cycle; five-song cabin pool</x:v>
      </x:c>
      <x:c r="G9" s="95" t="str">
        <x:v>Enabled</x:v>
      </x:c>
      <x:c r="H9" s="95" t="str">
        <x:v>Long exposure</x:v>
      </x:c>
      <x:c r="I9" s="95" t="str">
        <x:v>Forced on ignores saved-off preference; no visit ownership</x:v>
      </x:c>
      <x:c r="J9" s="95" t="str">
        <x:v>H-CAB-01</x:v>
      </x:c>
      <x:c r="K9" s="95" t="str">
        <x:v>talkFirst</x:v>
      </x:c>
      <x:c r="L9" s="95" t="str">
        <x:v>Ident → new Overnight wilderness block → Through the Night 30s → weather/road bulletin → new talk → I Ain't Gay 30s → link</x:v>
      </x:c>
      <x:c r="M9" s="95" t="str">
        <x:v>300s arrival packet; respect explicit power-off</x:v>
      </x:c>
      <x:c r="N9" s="95" t="str">
        <x:v>src/cabin/main.js:185,765</x:v>
      </x:c>
    </x:row>
    <x:row r="10" ht="46" customHeight="1">
      <x:c r="A10" s="94" t="str">
        <x:v>5</x:v>
      </x:c>
      <x:c r="B10" s="94" t="str">
        <x:v>Booski / Sasole Call</x:v>
      </x:c>
      <x:c r="C10" s="94" t="str">
        <x:v>Same cabin receiver</x:v>
      </x:c>
      <x:c r="D10" s="94" t="str">
        <x:v>Still forced/restored on</x:v>
      </x:c>
      <x:c r="E10" s="94" t="str">
        <x:v>After rest 09:20 / Lou &amp; Lou</x:v>
      </x:c>
      <x:c r="F10" s="94" t="str">
        <x:v>Resumes shared global cycle</x:v>
      </x:c>
      <x:c r="G10" s="94" t="str">
        <x:v>Enabled</x:v>
      </x:c>
      <x:c r="H10" s="94" t="str">
        <x:v>Long if player waits</x:v>
      </x:c>
      <x:c r="I10" s="94" t="str">
        <x:v>No fresh content for post-rest visit</x:v>
      </x:c>
      <x:c r="J10" s="94" t="str">
        <x:v>H-CAB-02</x:v>
      </x:c>
      <x:c r="K10" s="94" t="str">
        <x:v>talkFirst</x:v>
      </x:c>
      <x:c r="L10" s="94" t="str">
        <x:v>Ident → new post-rest Lou &amp; Lou → Good Ole Days 30s → rural news → new talk → 10 Drunk Cigarettes 30s → ad/link</x:v>
      </x:c>
      <x:c r="M10" s="94" t="str">
        <x:v>300s separate completion ledger</x:v>
      </x:c>
      <x:c r="N10" s="94" t="str">
        <x:v>src/cabin/main.js:2092</x:v>
      </x:c>
    </x:row>
    <x:row r="11" ht="46" customHeight="1">
      <x:c r="A11" s="95" t="str">
        <x:v>6</x:v>
      </x:c>
      <x:c r="B11" s="95" t="str">
        <x:v>Beef Run</x:v>
      </x:c>
      <x:c r="C11" s="95" t="str">
        <x:v>Cockpit 97.8 + signature takeoff song</x:v>
      </x:c>
      <x:c r="D11" s="95" t="str">
        <x:v>Radio off by default; player can enable</x:v>
      </x:c>
      <x:c r="E11" s="95" t="str">
        <x:v>Day 2 11:21 / Rerun Hour</x:v>
      </x:c>
      <x:c r="F11" s="95" t="str">
        <x:v>Optional global station; Can’t You Hear Me Knocking triggers above 45 knots</x:v>
      </x:c>
      <x:c r="G11" s="95" t="str">
        <x:v>Disabled</x:v>
      </x:c>
      <x:c r="H11" s="95" t="str">
        <x:v>Station easy to miss; needle-drop strong</x:v>
      </x:c>
      <x:c r="I11" s="95" t="str">
        <x:v>Old audit used stale 09:10 time</x:v>
      </x:c>
      <x:c r="J11" s="95" t="str">
        <x:v>COCKPIT-BEEF-01</x:v>
      </x:c>
      <x:c r="K11" s="95" t="str">
        <x:v>musicFirst</x:v>
      </x:c>
      <x:c r="L11" s="95" t="str">
        <x:v>If enabled: song first → short Rerun link; always preserve takeoff needle-drop</x:v>
      </x:c>
      <x:c r="M11" s="95" t="str">
        <x:v>Verify exact Day 2 11:21 show selection</x:v>
      </x:c>
      <x:c r="N11" s="95" t="str">
        <x:v>src/core/campaign.js:609-618; src/beefrun/main.js:166-174</x:v>
      </x:c>
    </x:row>
    <x:row r="12" ht="46" customHeight="1">
      <x:c r="A12" s="94" t="str">
        <x:v>7</x:v>
      </x:c>
      <x:c r="B12" s="94" t="str">
        <x:v>Cabin II</x:v>
      </x:c>
      <x:c r="C12" s="94" t="str">
        <x:v>Same cabin receiver</x:v>
      </x:c>
      <x:c r="D12" s="94" t="str">
        <x:v>Forced on</x:v>
      </x:c>
      <x:c r="E12" s="94" t="str">
        <x:v>Campaign clock</x:v>
      </x:c>
      <x:c r="F12" s="94" t="str">
        <x:v>Resumes shared cycle and cursor</x:v>
      </x:c>
      <x:c r="G12" s="94" t="str">
        <x:v>Enabled</x:v>
      </x:c>
      <x:c r="H12" s="94" t="str">
        <x:v>Long exposure</x:v>
      </x:c>
      <x:c r="I12" s="94" t="str">
        <x:v>Cannot distinguish return after Beef Run</x:v>
      </x:c>
      <x:c r="J12" s="94" t="str">
        <x:v>H-CAB-03</x:v>
      </x:c>
      <x:c r="K12" s="94" t="str">
        <x:v>talkFirst</x:v>
      </x:c>
      <x:c r="L12" s="94" t="str">
        <x:v>Ident → new return/dungeon-day host block → Nehoo 15s → dedicated ad → new talk → 10 Drunk Cigarettes 30s → link</x:v>
      </x:c>
      <x:c r="M12" s="94" t="str">
        <x:v>Fresh packet plus optional evening block</x:v>
      </x:c>
      <x:c r="N12" s="94" t="str">
        <x:v>src/cabin/main.js</x:v>
      </x:c>
    </x:row>
    <x:row r="13" ht="46" customHeight="1">
      <x:c r="A13" s="95" t="str">
        <x:v>8</x:v>
      </x:c>
      <x:c r="B13" s="95" t="str">
        <x:v>Bada Bing II</x:v>
      </x:c>
      <x:c r="C13" s="95" t="str">
        <x:v>Car 97.8 + club/party records</x:v>
      </x:c>
      <x:c r="D13" s="95" t="str">
        <x:v>Car saved preference; venue sources automatic</x:v>
      </x:c>
      <x:c r="E13" s="95" t="str">
        <x:v>Late night / Hog Mama</x:v>
      </x:c>
      <x:c r="F13" s="95" t="str">
        <x:v>Car global state; club rotation; party Good Ole Days loop</x:v>
      </x:c>
      <x:c r="G13" s="95" t="str">
        <x:v>Disabled</x:v>
      </x:c>
      <x:c r="H13" s="95" t="str">
        <x:v>Music strong; radio brief</x:v>
      </x:c>
      <x:c r="I13" s="95" t="str">
        <x:v>No campaign-specific late-night link</x:v>
      </x:c>
      <x:c r="J13" s="95" t="str">
        <x:v>CAR-BING-02</x:v>
      </x:c>
      <x:c r="K13" s="95" t="str">
        <x:v>musicFirst</x:v>
      </x:c>
      <x:c r="L13" s="95" t="str">
        <x:v>Car song → new late-night host link; dedicated club/party record order</x:v>
      </x:c>
      <x:c r="M13" s="95" t="str">
        <x:v>Preserve Hotdog pacing</x:v>
      </x:c>
      <x:c r="N13" s="95" t="str">
        <x:v>src/bing/main.js; src/hotdog/main.js</x:v>
      </x:c>
    </x:row>
    <x:row r="14" ht="46" customHeight="1">
      <x:c r="A14" s="94" t="str">
        <x:v>9</x:v>
      </x:c>
      <x:c r="B14" s="94" t="str">
        <x:v>Graveyard</x:v>
      </x:c>
      <x:c r="C14" s="94" t="str">
        <x:v>Purpose-built Graveyard arrival score</x:v>
      </x:c>
      <x:c r="D14" s="94" t="str">
        <x:v>Automatic on fresh arrival</x:v>
      </x:c>
      <x:c r="E14" s="94" t="str">
        <x:v>N/A</x:v>
      </x:c>
      <x:c r="F14" s="94" t="str">
        <x:v>45.035s one-shot; fades at body pickup</x:v>
      </x:c>
      <x:c r="G14" s="94" t="str">
        <x:v>Disabled</x:v>
      </x:c>
      <x:c r="H14" s="94" t="str">
        <x:v>Guaranteed on fresh arrival</x:v>
      </x:c>
      <x:c r="I14" s="94" t="str">
        <x:v>Resolved: score stops before the carry and graveside ritual</x:v>
      </x:c>
      <x:c r="J14" s="94" t="str">
        <x:v>SCORE-GRAVE-01</x:v>
      </x:c>
      <x:c r="K14" s="94" t="str">
        <x:v>musicFirst → intentionalSilence</x:v>
      </x:c>
      <x:c r="L14" s="94" t="str">
        <x:v>Arrival score → body pickup fade → graveside silence</x:v>
      </x:c>
      <x:c r="M14" s="94" t="str">
        <x:v>Real browser receipt proves start and narrative stop</x:v>
      </x:c>
      <x:c r="N14" s="94" t="str">
        <x:v>src/core/campaign-arrival-score.js; tools/verify-graveyard.mjs</x:v>
      </x:c>
    </x:row>
    <x:row r="15" ht="46" customHeight="1">
      <x:c r="A15" s="95" t="str">
        <x:v>10</x:v>
      </x:c>
      <x:c r="B15" s="95" t="str">
        <x:v>Jerky Hotel / Motel</x:v>
      </x:c>
      <x:c r="C15" s="95" t="str">
        <x:v>Non-diegetic getaway score</x:v>
      </x:c>
      <x:c r="D15" s="95" t="str">
        <x:v>Automatic during escape</x:v>
      </x:c>
      <x:c r="E15" s="95" t="str">
        <x:v>N/A</x:v>
      </x:c>
      <x:c r="F15" s="95" t="str">
        <x:v>Driving Jerky Hotel loops during getaway</x:v>
      </x:c>
      <x:c r="G15" s="95" t="str">
        <x:v>Disabled</x:v>
      </x:c>
      <x:c r="H15" s="95" t="str">
        <x:v>Guaranteed during escape</x:v>
      </x:c>
      <x:c r="I15" s="95" t="str">
        <x:v>Old audit mislabeled it as approach music</x:v>
      </x:c>
      <x:c r="J15" s="95" t="str">
        <x:v>SCORE-MOTEL-01</x:v>
      </x:c>
      <x:c r="K15" s="95" t="str">
        <x:v>musicFirst</x:v>
      </x:c>
      <x:c r="L15" s="95" t="str">
        <x:v>Motel quiet/ambience → combat → getaway score loop; no arrival radio claim</x:v>
      </x:c>
      <x:c r="M15" s="95" t="str">
        <x:v>Verify score starts only on getaway and ambience tears down</x:v>
      </x:c>
      <x:c r="N15" s="95" t="str">
        <x:v>src/motel/audio.js:24,1181</x:v>
      </x:c>
    </x:row>
    <x:row r="16" ht="46" customHeight="1">
      <x:c r="A16" s="94" t="str">
        <x:v>11</x:v>
      </x:c>
      <x:c r="B16" s="94" t="str">
        <x:v>Return to Old Apartment</x:v>
      </x:c>
      <x:c r="C16" s="94" t="str">
        <x:v>97.8 apartment + chapter news</x:v>
      </x:c>
      <x:c r="D16" s="94" t="str">
        <x:v>Saved preference / chapter preemption</x:v>
      </x:c>
      <x:c r="E16" s="94" t="str">
        <x:v>Campaign clock</x:v>
      </x:c>
      <x:c r="F16" s="94" t="str">
        <x:v>Chapter motel bulletin may preempt, then global station</x:v>
      </x:c>
      <x:c r="G16" s="94" t="str">
        <x:v>Enabled</x:v>
      </x:c>
      <x:c r="H16" s="94" t="str">
        <x:v>Conditional</x:v>
      </x:c>
      <x:c r="I16" s="94" t="str">
        <x:v>No deterministic return episode</x:v>
      </x:c>
      <x:c r="J16" s="94" t="str">
        <x:v>H-APT-02</x:v>
      </x:c>
      <x:c r="K16" s="94" t="str">
        <x:v>talkFirst</x:v>
      </x:c>
      <x:c r="L16" s="94" t="str">
        <x:v>Motel news → new decompression show block → Through the Night 30s → link → new talk → Good Ole Days 30s → ad</x:v>
      </x:c>
      <x:c r="M16" s="94" t="str">
        <x:v>300s fresh return packet</x:v>
      </x:c>
      <x:c r="N16" s="94" t="str">
        <x:v>src/core/apartment-story.js:1217; src/main.js:4442</x:v>
      </x:c>
    </x:row>
    <x:row r="17" ht="46" customHeight="1">
      <x:c r="A17" s="95" t="str">
        <x:v>11½</x:v>
      </x:c>
      <x:c r="B17" s="95" t="str">
        <x:v>THE TAKE</x:v>
      </x:c>
      <x:c r="C17" s="95" t="str">
        <x:v>Safehouse loop + escape-drive score</x:v>
      </x:c>
      <x:c r="D17" s="95" t="str">
        <x:v>Automatic on fresh mission/drive</x:v>
      </x:c>
      <x:c r="E17" s="95" t="str">
        <x:v>N/A</x:v>
      </x:c>
      <x:c r="F17" s="95" t="str">
        <x:v>Codename Sasquatch loop → Driving THE TAKE escape loop</x:v>
      </x:c>
      <x:c r="G17" s="95" t="str">
        <x:v>Disabled</x:v>
      </x:c>
      <x:c r="H17" s="95" t="str">
        <x:v>Strong and guaranteed</x:v>
      </x:c>
      <x:c r="I17" s="95" t="str">
        <x:v>No 97.8 needed</x:v>
      </x:c>
      <x:c r="J17" s="95" t="str">
        <x:v>SCORE-TAKE-01</x:v>
      </x:c>
      <x:c r="K17" s="95" t="str">
        <x:v>musicFirst</x:v>
      </x:c>
      <x:c r="L17" s="95" t="str">
        <x:v>Codename Sasquatch safehouse loop → mission audio → Driving THE TAKE escape loop</x:v>
      </x:c>
      <x:c r="M17" s="95" t="str">
        <x:v>KEEP current music-first structure</x:v>
      </x:c>
      <x:c r="N17" s="95" t="str">
        <x:v>src/heist/music.js; src/heist/main.js</x:v>
      </x:c>
    </x:row>
    <x:row r="18" ht="46" customHeight="1">
      <x:c r="A18" s="94" t="str">
        <x:v>12</x:v>
      </x:c>
      <x:c r="B18" s="94" t="str">
        <x:v>Lou's New Space Call</x:v>
      </x:c>
      <x:c r="C18" s="94" t="str">
        <x:v>97.8 apartment + chapter news</x:v>
      </x:c>
      <x:c r="D18" s="94" t="str">
        <x:v>Saved preference</x:v>
      </x:c>
      <x:c r="E18" s="94" t="str">
        <x:v>Campaign clock</x:v>
      </x:c>
      <x:c r="F18" s="94" t="str">
        <x:v>Post-heist bulletin then global station</x:v>
      </x:c>
      <x:c r="G18" s="94" t="str">
        <x:v>Enabled</x:v>
      </x:c>
      <x:c r="H18" s="94" t="str">
        <x:v>Conditional</x:v>
      </x:c>
      <x:c r="I18" s="94" t="str">
        <x:v>No deterministic heist/home transition packet</x:v>
      </x:c>
      <x:c r="J18" s="94" t="str">
        <x:v>H-APT-03</x:v>
      </x:c>
      <x:c r="K18" s="94" t="str">
        <x:v>talkFirst</x:v>
      </x:c>
      <x:c r="L18" s="94" t="str">
        <x:v>Heist news → new status-ladder host block → Cosmic Drift 30s → link → new talk → Good Ole Days 30s → ad</x:v>
      </x:c>
      <x:c r="M18" s="94" t="str">
        <x:v>300s fresh packet before Silver Pines</x:v>
      </x:c>
      <x:c r="N18" s="94" t="str">
        <x:v>src/core/apartment-story.js</x:v>
      </x:c>
    </x:row>
    <x:row r="19" ht="46" customHeight="1">
      <x:c r="A19" s="95" t="str">
        <x:v>13</x:v>
      </x:c>
      <x:c r="B19" s="95" t="str">
        <x:v>Silver Pines Golf Course</x:v>
      </x:c>
      <x:c r="C19" s="95" t="str">
        <x:v>Lead-cart 97.8</x:v>
      </x:c>
      <x:c r="D19" s="95" t="str">
        <x:v>Starts in cart if preference on</x:v>
      </x:c>
      <x:c r="E19" s="95" t="str">
        <x:v>Day 6 08:00 / Lou &amp; Lou</x:v>
      </x:c>
      <x:c r="F19" s="95" t="str">
        <x:v>Show intro first, then full-song five-track queue</x:v>
      </x:c>
      <x:c r="G19" s="95" t="str">
        <x:v>Disabled</x:v>
      </x:c>
      <x:c r="H19" s="95" t="str">
        <x:v>Only in cart</x:v>
      </x:c>
      <x:c r="I19" s="95" t="str">
        <x:v>Not music-first; Nehoo can play full 251.426s</x:v>
      </x:c>
      <x:c r="J19" s="95" t="str">
        <x:v>CART-GOLF-01</x:v>
      </x:c>
      <x:c r="K19" s="95" t="str">
        <x:v>musicFirst</x:v>
      </x:c>
      <x:c r="L19" s="95" t="str">
        <x:v>Song first → host link → full song; Nehoo always 0:00–0:15 → ad.neehu</x:v>
      </x:c>
      <x:c r="M19" s="95" t="str">
        <x:v>Exact 15.0s cut and one after-cut target</x:v>
      </x:c>
      <x:c r="N19" s="95" t="str">
        <x:v>src/golf/main.js:307,2235; assets/music/manifest.json:72</x:v>
      </x:c>
    </x:row>
    <x:row r="20" ht="46" customHeight="1">
      <x:c r="A20" s="94" t="str">
        <x:v>14</x:v>
      </x:c>
      <x:c r="B20" s="94" t="str">
        <x:v>Luxury Introduction</x:v>
      </x:c>
      <x:c r="C20" s="94" t="str">
        <x:v>97.8 luxury receiver</x:v>
      </x:c>
      <x:c r="D20" s="94" t="str">
        <x:v>Off by default; restored after start gesture</x:v>
      </x:c>
      <x:c r="E20" s="94" t="str">
        <x:v>Campaign clock</x:v>
      </x:c>
      <x:c r="F20" s="94" t="str">
        <x:v>Five-song pool resumes global cycle</x:v>
      </x:c>
      <x:c r="G20" s="94" t="str">
        <x:v>Enabled</x:v>
      </x:c>
      <x:c r="H20" s="94" t="str">
        <x:v>Often unheard</x:v>
      </x:c>
      <x:c r="I20" s="94" t="str">
        <x:v>Previous audit falsely said news disabled</x:v>
      </x:c>
      <x:c r="J20" s="94" t="str">
        <x:v>H-LUX-01</x:v>
      </x:c>
      <x:c r="K20" s="94" t="str">
        <x:v>talkFirst</x:v>
      </x:c>
      <x:c r="L20" s="94" t="str">
        <x:v>Ident → new arrival/status block → Good Ole Days 30s → short news → new talk → Cosmic Drift 30s → link</x:v>
      </x:c>
      <x:c r="M20" s="94" t="str">
        <x:v>Automatic only after trusted start gesture</x:v>
      </x:c>
      <x:c r="N20" s="94" t="str">
        <x:v>src/luxury-apartment/main.js:319-335,1256</x:v>
      </x:c>
    </x:row>
    <x:row r="21" ht="46" customHeight="1">
      <x:c r="A21" s="95" t="str">
        <x:v>15</x:v>
      </x:c>
      <x:c r="B21" s="95" t="str">
        <x:v>Front &amp; Center / Margo Date</x:v>
      </x:c>
      <x:c r="C21" s="95" t="str">
        <x:v>Venue band/score</x:v>
      </x:c>
      <x:c r="D21" s="95" t="str">
        <x:v>Automatic</x:v>
      </x:c>
      <x:c r="E21" s="95" t="str">
        <x:v>N/A</x:v>
      </x:c>
      <x:c r="F21" s="95" t="str">
        <x:v>Coco Cabana loop → 27s Big Feet feature → Bananaphone performance</x:v>
      </x:c>
      <x:c r="G21" s="95" t="str">
        <x:v>Disabled</x:v>
      </x:c>
      <x:c r="H21" s="95" t="str">
        <x:v>Guaranteed</x:v>
      </x:c>
      <x:c r="I21" s="95" t="str">
        <x:v>No 97.8 needed</x:v>
      </x:c>
      <x:c r="J21" s="95" t="str">
        <x:v>VENUE-SILVER-01</x:v>
      </x:c>
      <x:c r="K21" s="95" t="str">
        <x:v>musicFirst</x:v>
      </x:c>
      <x:c r="L21" s="95" t="str">
        <x:v>Coco Cabana → Big Feet 27s → Bananaphone 192.62s</x:v>
      </x:c>
      <x:c r="M21" s="95" t="str">
        <x:v>KEEP; dialogue ducking and zone filter required</x:v>
      </x:c>
      <x:c r="N21" s="95" t="str">
        <x:v>src/silver/music.js:8; src/silver/perform.js:79</x:v>
      </x:c>
    </x:row>
    <x:row r="22" ht="46" customHeight="1">
      <x:c r="A22" s="94" t="str">
        <x:v>16</x:v>
      </x:c>
      <x:c r="B22" s="94" t="str">
        <x:v>Margo Stayover</x:v>
      </x:c>
      <x:c r="C22" s="94" t="str">
        <x:v>97.8 luxury receiver</x:v>
      </x:c>
      <x:c r="D22" s="94" t="str">
        <x:v>Usually off unless player enabled</x:v>
      </x:c>
      <x:c r="E22" s="94" t="str">
        <x:v>Late night</x:v>
      </x:c>
      <x:c r="F22" s="94" t="str">
        <x:v>Global cycle</x:v>
      </x:c>
      <x:c r="G22" s="94" t="str">
        <x:v>Enabled</x:v>
      </x:c>
      <x:c r="H22" s="94" t="str">
        <x:v>Conditional</x:v>
      </x:c>
      <x:c r="I22" s="94" t="str">
        <x:v>No unique stayover program</x:v>
      </x:c>
      <x:c r="J22" s="94" t="str">
        <x:v>H-LUX-02</x:v>
      </x:c>
      <x:c r="K22" s="94" t="str">
        <x:v>talkFirst</x:v>
      </x:c>
      <x:c r="L22" s="94" t="str">
        <x:v>Ident → new Hog Mama late-night block → Through the Night 30s → short ad → new talk → 10 Drunk Cigarettes 30s → link</x:v>
      </x:c>
      <x:c r="M22" s="94" t="str">
        <x:v>300s optional packet; no criminal interruption</x:v>
      </x:c>
      <x:c r="N22" s="94" t="str">
        <x:v>src/luxury-apartment/main.js</x:v>
      </x:c>
    </x:row>
    <x:row r="23" ht="46" customHeight="1">
      <x:c r="A23" s="95" t="str">
        <x:v>17</x:v>
      </x:c>
      <x:c r="B23" s="95" t="str">
        <x:v>Luxury Morning</x:v>
      </x:c>
      <x:c r="C23" s="95" t="str">
        <x:v>97.8 luxury receiver</x:v>
      </x:c>
      <x:c r="D23" s="95" t="str">
        <x:v>Conditional/manual</x:v>
      </x:c>
      <x:c r="E23" s="95" t="str">
        <x:v>Morning / Lou &amp; Lou</x:v>
      </x:c>
      <x:c r="F23" s="95" t="str">
        <x:v>Global cycle</x:v>
      </x:c>
      <x:c r="G23" s="95" t="str">
        <x:v>Enabled</x:v>
      </x:c>
      <x:c r="H23" s="95" t="str">
        <x:v>Conditional</x:v>
      </x:c>
      <x:c r="I23" s="95" t="str">
        <x:v>No unique morning visit</x:v>
      </x:c>
      <x:c r="J23" s="95" t="str">
        <x:v>H-LUX-03</x:v>
      </x:c>
      <x:c r="K23" s="95" t="str">
        <x:v>talkFirst</x:v>
      </x:c>
      <x:c r="L23" s="95" t="str">
        <x:v>Ident → new morning block → Good Ole Days 30s → relationship/weather link → new talk → Cosmic Drift 30s → ad</x:v>
      </x:c>
      <x:c r="M23" s="95" t="str">
        <x:v>300s before No Wake call window</x:v>
      </x:c>
      <x:c r="N23" s="95" t="str">
        <x:v>src/luxury-apartment/main.js</x:v>
      </x:c>
    </x:row>
    <x:row r="24" ht="46" customHeight="1">
      <x:c r="A24" s="94" t="str">
        <x:v>18</x:v>
      </x:c>
      <x:c r="B24" s="94" t="str">
        <x:v>No Wake</x:v>
      </x:c>
      <x:c r="C24" s="94" t="str">
        <x:v>97.8 cabin receiver</x:v>
      </x:c>
      <x:c r="D24" s="94" t="str">
        <x:v>Forced on downstairs, forced off 4.9s later</x:v>
      </x:c>
      <x:c r="E24" s="94" t="str">
        <x:v>12:45 / Booski &amp; Ape</x:v>
      </x:c>
      <x:c r="F24" s="94" t="str">
        <x:v>Show intro begins and is cut off before completion</x:v>
      </x:c>
      <x:c r="G24" s="94" t="str">
        <x:v>Disabled</x:v>
      </x:c>
      <x:c r="H24" s="94" t="str">
        <x:v>Guaranteed but only 4.9s</x:v>
      </x:c>
      <x:c r="I24" s="94" t="str">
        <x:v>Authored gag consumes show without real content exposure</x:v>
      </x:c>
      <x:c r="J24" s="94" t="str">
        <x:v>INT-NOWAKE-01</x:v>
      </x:c>
      <x:c r="K24" s="94" t="str">
        <x:v>authoredInterrupt</x:v>
      </x:c>
      <x:c r="L24" s="94" t="str">
        <x:v>Prefer song sting → forced shutoff; later optional cabin interaction can open a music-first block</x:v>
      </x:c>
      <x:c r="M24" s="94" t="str">
        <x:v>Verify forced stop timing and later accessibility</x:v>
      </x:c>
      <x:c r="N24" s="94" t="str">
        <x:v>src/nowake/main.js:249,585,839</x:v>
      </x:c>
    </x:row>
    <x:row r="25" ht="46" customHeight="1">
      <x:c r="A25" s="95" t="str">
        <x:v>19</x:v>
      </x:c>
      <x:c r="B25" s="95" t="str">
        <x:v>Luxury Return</x:v>
      </x:c>
      <x:c r="C25" s="95" t="str">
        <x:v>97.8 luxury receiver</x:v>
      </x:c>
      <x:c r="D25" s="95" t="str">
        <x:v>Conditional/manual</x:v>
      </x:c>
      <x:c r="E25" s="95" t="str">
        <x:v>Campaign clock</x:v>
      </x:c>
      <x:c r="F25" s="95" t="str">
        <x:v>Global cycle; lake news eligible</x:v>
      </x:c>
      <x:c r="G25" s="95" t="str">
        <x:v>Enabled</x:v>
      </x:c>
      <x:c r="H25" s="95" t="str">
        <x:v>Conditional</x:v>
      </x:c>
      <x:c r="I25" s="95" t="str">
        <x:v>News exists but is not scene-owned</x:v>
      </x:c>
      <x:c r="J25" s="95" t="str">
        <x:v>H-LUX-04</x:v>
      </x:c>
      <x:c r="K25" s="95" t="str">
        <x:v>talkFirst</x:v>
      </x:c>
      <x:c r="L25" s="95" t="str">
        <x:v>Lake news → new early-evening block → Daydream/Good Ole Days 30s → link → new talk → Through the Night 30s → ad</x:v>
      </x:c>
      <x:c r="M25" s="95" t="str">
        <x:v>300s fresh decompression packet</x:v>
      </x:c>
      <x:c r="N25" s="95" t="str">
        <x:v>src/luxury-apartment/main.js:322-335</x:v>
      </x:c>
    </x:row>
    <x:row r="26" ht="46" customHeight="1">
      <x:c r="A26" s="94" t="str">
        <x:v>20</x:v>
      </x:c>
      <x:c r="B26" s="94" t="str">
        <x:v>Silver Case Setup</x:v>
      </x:c>
      <x:c r="C26" s="94" t="str">
        <x:v>Purpose-built Silver Case pickup score</x:v>
      </x:c>
      <x:c r="D26" s="94" t="str">
        <x:v>Automatic during the car ride</x:v>
      </x:c>
      <x:c r="E26" s="94" t="str">
        <x:v>N/A</x:v>
      </x:c>
      <x:c r="F26" s="94" t="str">
        <x:v>45.035s one-shot; fades at hallway arrival</x:v>
      </x:c>
      <x:c r="G26" s="94" t="str">
        <x:v>Disabled</x:v>
      </x:c>
      <x:c r="H26" s="94" t="str">
        <x:v>Guaranteed on fresh mission</x:v>
      </x:c>
      <x:c r="I26" s="94" t="str">
        <x:v>Resolved: score clears before apartment confrontation dialogue</x:v>
      </x:c>
      <x:c r="J26" s="94" t="str">
        <x:v>SCORE-CASE-01</x:v>
      </x:c>
      <x:c r="K26" s="94" t="str">
        <x:v>musicFirst</x:v>
      </x:c>
      <x:c r="L26" s="94" t="str">
        <x:v>Pickup score → hallway fade → mission dialogue</x:v>
      </x:c>
      <x:c r="M26" s="94" t="str">
        <x:v>Real browser receipt proves start and hallway stop</x:v>
      </x:c>
      <x:c r="N26" s="94" t="str">
        <x:v>src/core/campaign-arrival-score.js; tools/verify-silvercase.mjs</x:v>
      </x:c>
    </x:row>
    <x:row r="27" ht="46" customHeight="1">
      <x:c r="A27" s="95" t="str">
        <x:v>21</x:v>
      </x:c>
      <x:c r="B27" s="95" t="str">
        <x:v>Silver Case → Mansion</x:v>
      </x:c>
      <x:c r="C27" s="95" t="str">
        <x:v>Mansion billiard/pool receiver</x:v>
      </x:c>
      <x:c r="D27" s="95" t="str">
        <x:v>Off by default/manual</x:v>
      </x:c>
      <x:c r="E27" s="95" t="str">
        <x:v>Save clock clamped 18–23; first visit ~20:10 / Evening Desk</x:v>
      </x:c>
      <x:c r="F27" s="95" t="str">
        <x:v>Six-song mansion pool resumes global cursor</x:v>
      </x:c>
      <x:c r="G27" s="95" t="str">
        <x:v>Disabled</x:v>
      </x:c>
      <x:c r="H27" s="95" t="str">
        <x:v>Easy to miss</x:v>
      </x:c>
      <x:c r="I27" s="95" t="str">
        <x:v>No mansion-specific episode; one tuner moves between cabinets</x:v>
      </x:c>
      <x:c r="J27" s="95" t="str">
        <x:v>H-MAN-01</x:v>
      </x:c>
      <x:c r="K27" s="95" t="str">
        <x:v>talkFirst</x:v>
      </x:c>
      <x:c r="L27" s="95" t="str">
        <x:v>Ident → new Evening Desk estate block → Daydream Diner 2 30s → short link → new talk → Good Ole Days 30s → ad</x:v>
      </x:c>
      <x:c r="M27" s="95" t="str">
        <x:v>300s house packet, news opt-in declared</x:v>
      </x:c>
      <x:c r="N27" s="95" t="str">
        <x:v>src/mansion/main.js:672,836,845-851</x:v>
      </x:c>
    </x:row>
    <x:row r="28" ht="46" customHeight="1">
      <x:c r="A28" s="94" t="str">
        <x:v>22</x:v>
      </x:c>
      <x:c r="B28" s="94" t="str">
        <x:v>Mansion / Silent Squatch</x:v>
      </x:c>
      <x:c r="C28" s="94" t="str">
        <x:v>Same mansion receiver</x:v>
      </x:c>
      <x:c r="D28" s="94" t="str">
        <x:v>Manual/default-off</x:v>
      </x:c>
      <x:c r="E28" s="94" t="str">
        <x:v>Save clock clamped 18–23</x:v>
      </x:c>
      <x:c r="F28" s="94" t="str">
        <x:v>Same shared global queue</x:v>
      </x:c>
      <x:c r="G28" s="94" t="str">
        <x:v>Disabled</x:v>
      </x:c>
      <x:c r="H28" s="94" t="str">
        <x:v>Easy to miss</x:v>
      </x:c>
      <x:c r="I28" s="94" t="str">
        <x:v>Long hub has no deterministic content</x:v>
      </x:c>
      <x:c r="J28" s="94" t="str">
        <x:v>H-MAN-01</x:v>
      </x:c>
      <x:c r="K28" s="94" t="str">
        <x:v>talkFirst</x:v>
      </x:c>
      <x:c r="L28" s="94" t="str">
        <x:v>Resume unfinished mansion packet; after completion use generic rotation</x:v>
      </x:c>
      <x:c r="M28" s="94" t="str">
        <x:v>Do not restart completed blocks</x:v>
      </x:c>
      <x:c r="N28" s="94" t="str">
        <x:v>src/mansion/main.js:2797</x:v>
      </x:c>
    </x:row>
    <x:row r="29" ht="46" customHeight="1">
      <x:c r="A29" s="95" t="str">
        <x:v>23</x:v>
      </x:c>
      <x:c r="B29" s="95" t="str">
        <x:v>Mansion Siege</x:v>
      </x:c>
      <x:c r="C29" s="95" t="str">
        <x:v>No current station</x:v>
      </x:c>
      <x:c r="D29" s="95" t="str">
        <x:v>N/A</x:v>
      </x:c>
      <x:c r="E29" s="95" t="str">
        <x:v>N/A</x:v>
      </x:c>
      <x:c r="F29" s="95" t="str">
        <x:v>Combat ambience/callouts</x:v>
      </x:c>
      <x:c r="G29" s="95" t="str">
        <x:v>Disabled</x:v>
      </x:c>
      <x:c r="H29" s="95" t="str">
        <x:v>Intentional</x:v>
      </x:c>
      <x:c r="I29" s="95" t="str">
        <x:v>Talk radio would compete with combat state</x:v>
      </x:c>
      <x:c r="J29" s="95" t="str">
        <x:v>COMBAT-SIEGE-01</x:v>
      </x:c>
      <x:c r="K29" s="95" t="str">
        <x:v>intentionalSilence</x:v>
      </x:c>
      <x:c r="L29" s="95" t="str">
        <x:v>Alarm / combat audio only; optional score must duck for callouts</x:v>
      </x:c>
      <x:c r="M29" s="95" t="str">
        <x:v>No talk packet during active combat</x:v>
      </x:c>
      <x:c r="N29" s="95" t="str">
        <x:v>src/mansion-siege/main.js</x:v>
      </x:c>
    </x:row>
    <x:row r="30" ht="46" customHeight="1">
      <x:c r="A30" s="94" t="str">
        <x:v>24</x:v>
      </x:c>
      <x:c r="B30" s="94" t="str">
        <x:v>Enola</x:v>
      </x:c>
      <x:c r="C30" s="94" t="str">
        <x:v>Three-part mission music arc</x:v>
      </x:c>
      <x:c r="D30" s="94" t="str">
        <x:v>Automatic</x:v>
      </x:c>
      <x:c r="E30" s="94" t="str">
        <x:v>N/A</x:v>
      </x:c>
      <x:c r="F30" s="94" t="str">
        <x:v>Fortunate Son → approach score → 1.8s silence → escape score</x:v>
      </x:c>
      <x:c r="G30" s="94" t="str">
        <x:v>Disabled</x:v>
      </x:c>
      <x:c r="H30" s="94" t="str">
        <x:v>Guaranteed</x:v>
      </x:c>
      <x:c r="I30" s="94" t="str">
        <x:v>Shooter quips, not music order, are the problem</x:v>
      </x:c>
      <x:c r="J30" s="94" t="str">
        <x:v>SCORE-ENOLA-01</x:v>
      </x:c>
      <x:c r="K30" s="94" t="str">
        <x:v>musicFirst</x:v>
      </x:c>
      <x:c r="L30" s="94" t="str">
        <x:v>Fortunate Son max 150s → 37.704s approach → 1.8s silence → 148.2s escape</x:v>
      </x:c>
      <x:c r="M30" s="94" t="str">
        <x:v>KEEP exact arc; verify bomb-release cut</x:v>
      </x:c>
      <x:c r="N30" s="94" t="str">
        <x:v>src/enolasquatch/main.js:338; src/enolasquatch/audio.js:49</x:v>
      </x:c>
    </x:row>
    <x:row r="31" ht="46" customHeight="1">
      <x:c r="A31" s="95" t="str">
        <x:v>25</x:v>
      </x:c>
      <x:c r="B31" s="95" t="str">
        <x:v>Repaired Mansion</x:v>
      </x:c>
      <x:c r="C31" s="95" t="str">
        <x:v>Mansion receiver</x:v>
      </x:c>
      <x:c r="D31" s="95" t="str">
        <x:v>Manual/default-off</x:v>
      </x:c>
      <x:c r="E31" s="95" t="str">
        <x:v>Save clock clamped 18–23; return ~18:30 / India show</x:v>
      </x:c>
      <x:c r="F31" s="95" t="str">
        <x:v>Same global queue</x:v>
      </x:c>
      <x:c r="G31" s="95" t="str">
        <x:v>Disabled</x:v>
      </x:c>
      <x:c r="H31" s="95" t="str">
        <x:v>Easy to miss</x:v>
      </x:c>
      <x:c r="I31" s="95" t="str">
        <x:v>Return cannot guarantee fresh program</x:v>
      </x:c>
      <x:c r="J31" s="95" t="str">
        <x:v>H-MAN-02</x:v>
      </x:c>
      <x:c r="K31" s="95" t="str">
        <x:v>talkFirst</x:v>
      </x:c>
      <x:c r="L31" s="95" t="str">
        <x:v>Ident → new repaired-house/India block → Daydream Diner 2 30s → detonation news → new talk → Through the Night 30s → link</x:v>
      </x:c>
      <x:c r="M31" s="95" t="str">
        <x:v>300s unique return packet</x:v>
      </x:c>
      <x:c r="N31" s="95" t="str">
        <x:v>src/mansion/main.js:845-851</x:v>
      </x:c>
    </x:row>
    <x:row r="32" ht="46" customHeight="1">
      <x:c r="A32" s="94" t="str">
        <x:v>26</x:v>
      </x:c>
      <x:c r="B32" s="94" t="str">
        <x:v>Cartel Palace</x:v>
      </x:c>
      <x:c r="C32" s="94" t="str">
        <x:v>Purpose-built Cartel Palace arrival score</x:v>
      </x:c>
      <x:c r="D32" s="94" t="str">
        <x:v>Automatic on approach</x:v>
      </x:c>
      <x:c r="E32" s="94" t="str">
        <x:v>N/A</x:v>
      </x:c>
      <x:c r="F32" s="94" t="str">
        <x:v>55.014s one-shot; fades at perimeter/alarm</x:v>
      </x:c>
      <x:c r="G32" s="94" t="str">
        <x:v>Disabled</x:v>
      </x:c>
      <x:c r="H32" s="94" t="str">
        <x:v>Guaranteed on fresh approach</x:v>
      </x:c>
      <x:c r="I32" s="94" t="str">
        <x:v>Resolved: score retires before compound action and evidence dialogue</x:v>
      </x:c>
      <x:c r="J32" s="94" t="str">
        <x:v>SCORE-PALACE-01</x:v>
      </x:c>
      <x:c r="K32" s="94" t="str">
        <x:v>musicFirst</x:v>
      </x:c>
      <x:c r="L32" s="94" t="str">
        <x:v>Arrival score → perimeter fade → action/evidence audio</x:v>
      </x:c>
      <x:c r="M32" s="94" t="str">
        <x:v>Real browser receipt proves start and perimeter stop</x:v>
      </x:c>
      <x:c r="N32" s="94" t="str">
        <x:v>src/core/campaign-arrival-score.js; tools/verify-cartel-palace.mjs</x:v>
      </x:c>
    </x:row>
    <x:row r="33" ht="46" customHeight="1">
      <x:c r="A33" s="95" t="str">
        <x:v>27</x:v>
      </x:c>
      <x:c r="B33" s="95" t="str">
        <x:v>Luxury Special Meeting</x:v>
      </x:c>
      <x:c r="C33" s="95" t="str">
        <x:v>97.8 luxury receiver</x:v>
      </x:c>
      <x:c r="D33" s="95" t="str">
        <x:v>Conditional/manual</x:v>
      </x:c>
      <x:c r="E33" s="95" t="str">
        <x:v>Day 12 23:00 arrival; call six runtime seconds later</x:v>
      </x:c>
      <x:c r="F33" s="95" t="str">
        <x:v>H-LUX-05 deterministic entry packet, then generic station rotation</x:v>
      </x:c>
      <x:c r="G33" s="95" t="str">
        <x:v>Enabled</x:v>
      </x:c>
      <x:c r="H33" s="95" t="str">
        <x:v>Conditional</x:v>
      </x:c>
      <x:c r="I33" s="95" t="str">
        <x:v>Resolved: fresh pre-meeting program and complete shared prelude</x:v>
      </x:c>
      <x:c r="J33" s="95" t="str">
        <x:v>H-LUX-05</x:v>
      </x:c>
      <x:c r="K33" s="95" t="str">
        <x:v>talkFirst</x:v>
      </x:c>
      <x:c r="L33" s="95" t="str">
        <x:v>Ident → show → talk → Nehoo 15s → compound news → talk/song/ad/handoff</x:v>
      </x:c>
      <x:c r="M33" s="95" t="str">
        <x:v>Ordered playback receipts and real Beat 27 path</x:v>
      </x:c>
      <x:c r="N33" s="95" t="str">
        <x:v>src/core/radio-program.js; src/core/special-meeting-home-prelude.js</x:v>
      </x:c>
    </x:row>
    <x:row r="34" ht="46" customHeight="1">
      <x:c r="A34" s="94" t="str">
        <x:v>28</x:v>
      </x:c>
      <x:c r="B34" s="94" t="str">
        <x:v>Pickup / Ride</x:v>
      </x:c>
      <x:c r="C34" s="94" t="str">
        <x:v>Delivered two-second 97.8 announcer fragment</x:v>
      </x:c>
      <x:c r="D34" s="94" t="str">
        <x:v>Automatic at SM-200</x:v>
      </x:c>
      <x:c r="E34" s="94" t="str">
        <x:v>N/A</x:v>
      </x:c>
      <x:c r="F34" s="94" t="str">
        <x:v>Recorded announcer starts; Seff cuts the source at 2.0s</x:v>
      </x:c>
      <x:c r="G34" s="94" t="str">
        <x:v>Disabled</x:v>
      </x:c>
      <x:c r="H34" s="94" t="str">
        <x:v>Guaranteed authored beat</x:v>
      </x:c>
      <x:c r="I34" s="94" t="str">
        <x:v>Resolved: exact bounded continuity gag is receipt-backed</x:v>
      </x:c>
      <x:c r="J34" s="94" t="str">
        <x:v>INT-MEETING-01</x:v>
      </x:c>
      <x:c r="K34" s="94" t="str">
        <x:v>authoredInterrupt</x:v>
      </x:c>
      <x:c r="L34" s="94" t="str">
        <x:v>Exactly two seconds of announcer texture, then vehicle/dread audio</x:v>
      </x:c>
      <x:c r="M34" s="94" t="str">
        <x:v>Runtime receipt proves recorded start and exact stop</x:v>
      </x:c>
      <x:c r="N34" s="94" t="str">
        <x:v>src/specialmeeting/radio-gag.js; tools/verify-specialmeeting.mjs</x:v>
      </x:c>
    </x:row>
    <x:row r="35" ht="46" customHeight="1">
      <x:c r="A35" s="96" t="str">
        <x:v>29</x:v>
      </x:c>
      <x:c r="B35" s="96" t="str">
        <x:v>Initiation Cabin</x:v>
      </x:c>
      <x:c r="C35" s="96" t="str">
        <x:v>Delivered positional cabin stereo</x:v>
      </x:c>
      <x:c r="D35" s="96" t="str">
        <x:v>Automatic with cabin ambience</x:v>
      </x:c>
      <x:c r="E35" s="96" t="str">
        <x:v>N/A</x:v>
      </x:c>
      <x:c r="F35" s="96" t="str">
        <x:v>90.044s stereo loop; muffled outside, open inside, permanent pre-oath fade</x:v>
      </x:c>
      <x:c r="G35" s="96" t="str">
        <x:v>Disabled</x:v>
      </x:c>
      <x:c r="H35" s="96" t="str">
        <x:v>Guaranteed before oath</x:v>
      </x:c>
      <x:c r="I35" s="96" t="str">
        <x:v>Resolved: music exists and the ceremony silence boundary is enforced</x:v>
      </x:c>
      <x:c r="J35" s="96" t="str">
        <x:v>EXT-INIT-01</x:v>
      </x:c>
      <x:c r="K35" s="96" t="str">
        <x:v>musicFirst → intentionalSilence</x:v>
      </x:c>
      <x:c r="L35" s="96" t="str">
        <x:v>Slow cabin stereo → doorway opens mix → five-second pre-oath fade → silence</x:v>
      </x:c>
      <x:c r="M35" s="96" t="str">
        <x:v>Real-flow verifier proves doorway mix and no oath bleed</x:v>
      </x:c>
      <x:c r="N35" s="96" t="str">
        <x:v>src/initiation/cabin/ambience.js; tools/verify-initiation.mjs</x:v>
      </x:c>
    </x:row>
  </x:sheetData>
  <x:mergeCells>
    <x:mergeCell ref="A1:N1"/>
    <x:mergeCell ref="A2:N2"/>
  </x:mergeCells>
  <x:conditionalFormatting sqref="G5:G35">
    <x:cfRule type="containsText" dxfId="68" priority="1" operator="containsText" text="P0"/>
    <x:cfRule type="containsText" dxfId="69" priority="2" operator="containsText" text="FAIL"/>
    <x:cfRule type="containsText" dxfId="70" priority="3" operator="containsText" text="BROKEN"/>
    <x:cfRule type="containsText" dxfId="71" priority="4" operator="containsText" text="MISSING"/>
    <x:cfRule type="containsText" dxfId="72" priority="5" operator="containsText" text="DEBT"/>
    <x:cfRule type="containsText" dxfId="73" priority="6" operator="containsText" text="P1"/>
    <x:cfRule type="containsText" dxfId="74" priority="7" operator="containsText" text="OWNER"/>
    <x:cfRule type="containsText" dxfId="75" priority="8" operator="containsText" text="RERECORD"/>
    <x:cfRule type="containsText" dxfId="76" priority="9" operator="containsText" text="PARTIAL"/>
    <x:cfRule type="containsText" dxfId="77" priority="10" operator="containsText" text="P2"/>
    <x:cfRule type="containsText" dxfId="78" priority="11" operator="containsText" text="CONNECTED"/>
    <x:cfRule type="containsText" dxfId="79" priority="12" operator="containsText" text="PASS"/>
    <x:cfRule type="containsText" dxfId="80" priority="13" operator="containsText" text="KEEP"/>
    <x:cfRule type="containsText" dxfId="81" priority="14" operator="containsText" text="EXISTING"/>
    <x:cfRule type="containsText" dxfId="82" priority="15" operator="containsText" text="P3"/>
    <x:cfRule type="containsText" dxfId="83" priority="16" operator="containsText" text="FROZEN"/>
    <x:cfRule type="containsText" dxfId="84" priority="17" operator="containsText" text="NEW"/>
  </x:conditionalFormatting>
  <x:conditionalFormatting sqref="I5:I35">
    <x:cfRule type="containsText" dxfId="85" priority="18" operator="containsText" text="P0"/>
    <x:cfRule type="containsText" dxfId="86" priority="19" operator="containsText" text="FAIL"/>
    <x:cfRule type="containsText" dxfId="87" priority="20" operator="containsText" text="BROKEN"/>
    <x:cfRule type="containsText" dxfId="88" priority="21" operator="containsText" text="MISSING"/>
    <x:cfRule type="containsText" dxfId="89" priority="22" operator="containsText" text="DEBT"/>
    <x:cfRule type="containsText" dxfId="90" priority="23" operator="containsText" text="P1"/>
    <x:cfRule type="containsText" dxfId="91" priority="24" operator="containsText" text="OWNER"/>
    <x:cfRule type="containsText" dxfId="92" priority="25" operator="containsText" text="RERECORD"/>
    <x:cfRule type="containsText" dxfId="93" priority="26" operator="containsText" text="PARTIAL"/>
    <x:cfRule type="containsText" dxfId="94" priority="27" operator="containsText" text="P2"/>
    <x:cfRule type="containsText" dxfId="95" priority="28" operator="containsText" text="CONNECTED"/>
    <x:cfRule type="containsText" dxfId="96" priority="29" operator="containsText" text="PASS"/>
    <x:cfRule type="containsText" dxfId="97" priority="30" operator="containsText" text="KEEP"/>
    <x:cfRule type="containsText" dxfId="98" priority="31" operator="containsText" text="EXISTING"/>
    <x:cfRule type="containsText" dxfId="99" priority="32" operator="containsText" text="P3"/>
    <x:cfRule type="containsText" dxfId="100" priority="33" operator="containsText" text="FROZEN"/>
    <x:cfRule type="containsText" dxfId="101" priority="34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c9bf44793aa042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8" hidden="0" customWidth="1"/>
    <x:col min="4" max="4" width="27" hidden="0" customWidth="1"/>
    <x:col min="5" max="5" width="18" hidden="0" customWidth="1"/>
    <x:col min="6" max="6" width="18" hidden="0" customWidth="1"/>
    <x:col min="7" max="7" width="15" hidden="0" customWidth="1"/>
    <x:col min="8" max="8" width="13" hidden="0" customWidth="1"/>
    <x:col min="9" max="9" width="9" hidden="0" customWidth="1"/>
    <x:col min="10" max="10" width="18" hidden="0" customWidth="1"/>
    <x:col min="11" max="11" width="16" hidden="0" customWidth="1"/>
    <x:col min="12" max="12" width="33" hidden="0" customWidth="1"/>
    <x:col min="13" max="13" width="40" hidden="0" customWidth="1"/>
    <x:col min="14" max="14" width="48" hidden="0" customWidth="1"/>
  </x:cols>
  <x:sheetData>
    <x:row r="1" ht="32" customHeight="1">
      <x:c r="A1" s="136" t="str">
        <x:v>LIVE RADIO MANIFEST · RUNTIME AUTHORITY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</x:row>
    <x:row r="2" ht="34" customHeight="1">
      <x:c r="A2" s="7" t="str">
        <x:v>Generated from CAMPAIGN_RADIO_BEATS, PHYSICAL_RADIO_RECEIVERS, and RADIO_PROGRAMS. Every beat, receiver, program, and resumable block is visible here; regenerate the workbook after manifest changes.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</x:row>
    <x:row r="4" ht="34" customHeight="1">
      <x:c r="A4" s="105" t="str">
        <x:v>Record type</x:v>
      </x:c>
      <x:c r="B4" s="105" t="str">
        <x:v>Beat ID</x:v>
      </x:c>
      <x:c r="C4" s="105" t="str">
        <x:v>Policy</x:v>
      </x:c>
      <x:c r="D4" s="105" t="str">
        <x:v>Receiver ID</x:v>
      </x:c>
      <x:c r="E4" s="105" t="str">
        <x:v>Campaign news</x:v>
      </x:c>
      <x:c r="F4" s="105" t="str">
        <x:v>Program ID</x:v>
      </x:c>
      <x:c r="G4" s="105" t="str">
        <x:v>Target seconds</x:v>
      </x:c>
      <x:c r="H4" s="105" t="str">
        <x:v>Show hour</x:v>
      </x:c>
      <x:c r="I4" s="105" t="str">
        <x:v>Order</x:v>
      </x:c>
      <x:c r="J4" s="105" t="str">
        <x:v>Block ID</x:v>
      </x:c>
      <x:c r="K4" s="105" t="str">
        <x:v>Block type</x:v>
      </x:c>
      <x:c r="L4" s="105" t="str">
        <x:v>Content ID</x:v>
      </x:c>
      <x:c r="M4" s="105" t="str">
        <x:v>Resume key</x:v>
      </x:c>
      <x:c r="N4" s="105" t="str">
        <x:v>Evidence</x:v>
      </x:c>
    </x:row>
    <x:row r="5" ht="46" customHeight="1">
      <x:c r="A5" s="93" t="str">
        <x:v>BEAT</x:v>
      </x:c>
      <x:c r="B5" s="93" t="str">
        <x:v>squatch_smash_intro</x:v>
      </x:c>
      <x:c r="C5" s="93" t="str">
        <x:v>none</x:v>
      </x:c>
      <x:c r="D5" s="93" t="str"/>
      <x:c r="E5" s="93" t="str">
        <x:v>N/A</x:v>
      </x:c>
      <x:c r="F5" s="93" t="str"/>
      <x:c r="G5" s="93" t="str"/>
      <x:c r="H5" s="93" t="str"/>
      <x:c r="I5" s="93" t="str"/>
      <x:c r="J5" s="93" t="str"/>
      <x:c r="K5" s="93" t="str"/>
      <x:c r="L5" s="93" t="str"/>
      <x:c r="M5" s="93" t="str">
        <x:v>N/A</x:v>
      </x:c>
      <x:c r="N5" s="93" t="str">
        <x:v>src/core/radio-program.js · CAMPAIGN_RADIO_BEATS</x:v>
      </x:c>
    </x:row>
    <x:row r="6" ht="46" customHeight="1">
      <x:c r="A6" s="94" t="str">
        <x:v>BEAT</x:v>
      </x:c>
      <x:c r="B6" s="94" t="str">
        <x:v>first_apartment</x:v>
      </x:c>
      <x:c r="C6" s="94" t="str">
        <x:v>talkFirst</x:v>
      </x:c>
      <x:c r="D6" s="94" t="str">
        <x:v>apartment</x:v>
      </x:c>
      <x:c r="E6" s="94" t="str">
        <x:v>enabled</x:v>
      </x:c>
      <x:c r="F6" s="94" t="str">
        <x:v>H-APT-01</x:v>
      </x:c>
      <x:c r="G6" s="94" t="str"/>
      <x:c r="H6" s="94" t="str"/>
      <x:c r="I6" s="94" t="str"/>
      <x:c r="J6" s="94" t="str"/>
      <x:c r="K6" s="94" t="str"/>
      <x:c r="L6" s="94" t="str"/>
      <x:c r="M6" s="94" t="str">
        <x:v>campaign.radio.programProgress.H-APT-01</x:v>
      </x:c>
      <x:c r="N6" s="94" t="str">
        <x:v>src/core/radio-program.js · CAMPAIGN_RADIO_BEATS</x:v>
      </x:c>
    </x:row>
    <x:row r="7" ht="46" customHeight="1">
      <x:c r="A7" s="95" t="str">
        <x:v>BEAT</x:v>
      </x:c>
      <x:c r="B7" s="95" t="str">
        <x:v>bada_bing_one</x:v>
      </x:c>
      <x:c r="C7" s="95" t="str">
        <x:v>musicFirst</x:v>
      </x:c>
      <x:c r="D7" s="95" t="str">
        <x:v>bing_car</x:v>
      </x:c>
      <x:c r="E7" s="95" t="str">
        <x:v>disabled</x:v>
      </x:c>
      <x:c r="F7" s="95" t="str"/>
      <x:c r="G7" s="95" t="str"/>
      <x:c r="H7" s="95" t="str"/>
      <x:c r="I7" s="95" t="str"/>
      <x:c r="J7" s="95" t="str"/>
      <x:c r="K7" s="95" t="str"/>
      <x:c r="L7" s="95" t="str"/>
      <x:c r="M7" s="95" t="str">
        <x:v>N/A</x:v>
      </x:c>
      <x:c r="N7" s="95" t="str">
        <x:v>src/core/radio-program.js · CAMPAIGN_RADIO_BEATS</x:v>
      </x:c>
    </x:row>
    <x:row r="8" ht="46" customHeight="1">
      <x:c r="A8" s="94" t="str">
        <x:v>BEAT</x:v>
      </x:c>
      <x:c r="B8" s="94" t="str">
        <x:v>squatchfather</x:v>
      </x:c>
      <x:c r="C8" s="94" t="str">
        <x:v>none</x:v>
      </x:c>
      <x:c r="D8" s="94" t="str"/>
      <x:c r="E8" s="94" t="str">
        <x:v>N/A</x:v>
      </x:c>
      <x:c r="F8" s="94" t="str"/>
      <x:c r="G8" s="94" t="str"/>
      <x:c r="H8" s="94" t="str"/>
      <x:c r="I8" s="94" t="str"/>
      <x:c r="J8" s="94" t="str"/>
      <x:c r="K8" s="94" t="str"/>
      <x:c r="L8" s="94" t="str"/>
      <x:c r="M8" s="94" t="str">
        <x:v>N/A</x:v>
      </x:c>
      <x:c r="N8" s="94" t="str">
        <x:v>src/core/radio-program.js · CAMPAIGN_RADIO_BEATS</x:v>
      </x:c>
    </x:row>
    <x:row r="9" ht="46" customHeight="1">
      <x:c r="A9" s="95" t="str">
        <x:v>BEAT</x:v>
      </x:c>
      <x:c r="B9" s="95" t="str">
        <x:v>cabin_lay_low</x:v>
      </x:c>
      <x:c r="C9" s="95" t="str">
        <x:v>talkFirst</x:v>
      </x:c>
      <x:c r="D9" s="95" t="str">
        <x:v>countryside_cabin</x:v>
      </x:c>
      <x:c r="E9" s="95" t="str">
        <x:v>enabled</x:v>
      </x:c>
      <x:c r="F9" s="95" t="str">
        <x:v>H-CAB-01</x:v>
      </x:c>
      <x:c r="G9" s="95" t="str"/>
      <x:c r="H9" s="95" t="str"/>
      <x:c r="I9" s="95" t="str"/>
      <x:c r="J9" s="95" t="str"/>
      <x:c r="K9" s="95" t="str"/>
      <x:c r="L9" s="95" t="str"/>
      <x:c r="M9" s="95" t="str">
        <x:v>campaign.radio.programProgress.H-CAB-01</x:v>
      </x:c>
      <x:c r="N9" s="95" t="str">
        <x:v>src/core/radio-program.js · CAMPAIGN_RADIO_BEATS</x:v>
      </x:c>
    </x:row>
    <x:row r="10" ht="46" customHeight="1">
      <x:c r="A10" s="94" t="str">
        <x:v>BEAT</x:v>
      </x:c>
      <x:c r="B10" s="94" t="str">
        <x:v>booski_sasole_call</x:v>
      </x:c>
      <x:c r="C10" s="94" t="str">
        <x:v>talkFirst</x:v>
      </x:c>
      <x:c r="D10" s="94" t="str">
        <x:v>countryside_cabin</x:v>
      </x:c>
      <x:c r="E10" s="94" t="str">
        <x:v>enabled</x:v>
      </x:c>
      <x:c r="F10" s="94" t="str">
        <x:v>H-CAB-02</x:v>
      </x:c>
      <x:c r="G10" s="94" t="str"/>
      <x:c r="H10" s="94" t="str"/>
      <x:c r="I10" s="94" t="str"/>
      <x:c r="J10" s="94" t="str"/>
      <x:c r="K10" s="94" t="str"/>
      <x:c r="L10" s="94" t="str"/>
      <x:c r="M10" s="94" t="str">
        <x:v>campaign.radio.programProgress.H-CAB-02</x:v>
      </x:c>
      <x:c r="N10" s="94" t="str">
        <x:v>src/core/radio-program.js · CAMPAIGN_RADIO_BEATS</x:v>
      </x:c>
    </x:row>
    <x:row r="11" ht="46" customHeight="1">
      <x:c r="A11" s="95" t="str">
        <x:v>BEAT</x:v>
      </x:c>
      <x:c r="B11" s="95" t="str">
        <x:v>beef_run</x:v>
      </x:c>
      <x:c r="C11" s="95" t="str">
        <x:v>musicFirst</x:v>
      </x:c>
      <x:c r="D11" s="95" t="str">
        <x:v>beefrun_cockpit</x:v>
      </x:c>
      <x:c r="E11" s="95" t="str">
        <x:v>disabled</x:v>
      </x:c>
      <x:c r="F11" s="95" t="str"/>
      <x:c r="G11" s="95" t="str"/>
      <x:c r="H11" s="95" t="str"/>
      <x:c r="I11" s="95" t="str"/>
      <x:c r="J11" s="95" t="str"/>
      <x:c r="K11" s="95" t="str"/>
      <x:c r="L11" s="95" t="str"/>
      <x:c r="M11" s="95" t="str">
        <x:v>N/A</x:v>
      </x:c>
      <x:c r="N11" s="95" t="str">
        <x:v>src/core/radio-program.js · CAMPAIGN_RADIO_BEATS</x:v>
      </x:c>
    </x:row>
    <x:row r="12" ht="46" customHeight="1">
      <x:c r="A12" s="94" t="str">
        <x:v>BEAT</x:v>
      </x:c>
      <x:c r="B12" s="94" t="str">
        <x:v>cabin_two</x:v>
      </x:c>
      <x:c r="C12" s="94" t="str">
        <x:v>talkFirst</x:v>
      </x:c>
      <x:c r="D12" s="94" t="str">
        <x:v>countryside_cabin</x:v>
      </x:c>
      <x:c r="E12" s="94" t="str">
        <x:v>enabled</x:v>
      </x:c>
      <x:c r="F12" s="94" t="str">
        <x:v>H-CAB-03</x:v>
      </x:c>
      <x:c r="G12" s="94" t="str"/>
      <x:c r="H12" s="94" t="str"/>
      <x:c r="I12" s="94" t="str"/>
      <x:c r="J12" s="94" t="str"/>
      <x:c r="K12" s="94" t="str"/>
      <x:c r="L12" s="94" t="str"/>
      <x:c r="M12" s="94" t="str">
        <x:v>campaign.radio.programProgress.H-CAB-03</x:v>
      </x:c>
      <x:c r="N12" s="94" t="str">
        <x:v>src/core/radio-program.js · CAMPAIGN_RADIO_BEATS</x:v>
      </x:c>
    </x:row>
    <x:row r="13" ht="46" customHeight="1">
      <x:c r="A13" s="95" t="str">
        <x:v>BEAT</x:v>
      </x:c>
      <x:c r="B13" s="95" t="str">
        <x:v>bada_bing_two</x:v>
      </x:c>
      <x:c r="C13" s="95" t="str">
        <x:v>musicFirst</x:v>
      </x:c>
      <x:c r="D13" s="95" t="str"/>
      <x:c r="E13" s="95" t="str">
        <x:v>N/A</x:v>
      </x:c>
      <x:c r="F13" s="95" t="str"/>
      <x:c r="G13" s="95" t="str"/>
      <x:c r="H13" s="95" t="str"/>
      <x:c r="I13" s="95" t="str"/>
      <x:c r="J13" s="95" t="str"/>
      <x:c r="K13" s="95" t="str"/>
      <x:c r="L13" s="95" t="str"/>
      <x:c r="M13" s="95" t="str">
        <x:v>N/A</x:v>
      </x:c>
      <x:c r="N13" s="95" t="str">
        <x:v>src/core/radio-program.js · CAMPAIGN_RADIO_BEATS</x:v>
      </x:c>
    </x:row>
    <x:row r="14" ht="46" customHeight="1">
      <x:c r="A14" s="94" t="str">
        <x:v>BEAT</x:v>
      </x:c>
      <x:c r="B14" s="94" t="str">
        <x:v>graveyard</x:v>
      </x:c>
      <x:c r="C14" s="94" t="str">
        <x:v>musicFirst</x:v>
      </x:c>
      <x:c r="D14" s="94" t="str"/>
      <x:c r="E14" s="94" t="str">
        <x:v>N/A</x:v>
      </x:c>
      <x:c r="F14" s="94" t="str"/>
      <x:c r="G14" s="94" t="str"/>
      <x:c r="H14" s="94" t="str"/>
      <x:c r="I14" s="94" t="str"/>
      <x:c r="J14" s="94" t="str"/>
      <x:c r="K14" s="94" t="str"/>
      <x:c r="L14" s="94" t="str"/>
      <x:c r="M14" s="94" t="str">
        <x:v>N/A</x:v>
      </x:c>
      <x:c r="N14" s="94" t="str">
        <x:v>src/core/radio-program.js · CAMPAIGN_RADIO_BEATS</x:v>
      </x:c>
    </x:row>
    <x:row r="15" ht="46" customHeight="1">
      <x:c r="A15" s="95" t="str">
        <x:v>BEAT</x:v>
      </x:c>
      <x:c r="B15" s="95" t="str">
        <x:v>jerky_motel</x:v>
      </x:c>
      <x:c r="C15" s="95" t="str">
        <x:v>musicFirst</x:v>
      </x:c>
      <x:c r="D15" s="95" t="str"/>
      <x:c r="E15" s="95" t="str">
        <x:v>N/A</x:v>
      </x:c>
      <x:c r="F15" s="95" t="str"/>
      <x:c r="G15" s="95" t="str"/>
      <x:c r="H15" s="95" t="str"/>
      <x:c r="I15" s="95" t="str"/>
      <x:c r="J15" s="95" t="str"/>
      <x:c r="K15" s="95" t="str"/>
      <x:c r="L15" s="95" t="str"/>
      <x:c r="M15" s="95" t="str">
        <x:v>N/A</x:v>
      </x:c>
      <x:c r="N15" s="95" t="str">
        <x:v>src/core/radio-program.js · CAMPAIGN_RADIO_BEATS</x:v>
      </x:c>
    </x:row>
    <x:row r="16" ht="46" customHeight="1">
      <x:c r="A16" s="94" t="str">
        <x:v>BEAT</x:v>
      </x:c>
      <x:c r="B16" s="94" t="str">
        <x:v>return_to_old_apartment</x:v>
      </x:c>
      <x:c r="C16" s="94" t="str">
        <x:v>talkFirst</x:v>
      </x:c>
      <x:c r="D16" s="94" t="str">
        <x:v>apartment</x:v>
      </x:c>
      <x:c r="E16" s="94" t="str">
        <x:v>enabled</x:v>
      </x:c>
      <x:c r="F16" s="94" t="str">
        <x:v>H-APT-02</x:v>
      </x:c>
      <x:c r="G16" s="94" t="str"/>
      <x:c r="H16" s="94" t="str"/>
      <x:c r="I16" s="94" t="str"/>
      <x:c r="J16" s="94" t="str"/>
      <x:c r="K16" s="94" t="str"/>
      <x:c r="L16" s="94" t="str"/>
      <x:c r="M16" s="94" t="str">
        <x:v>campaign.radio.programProgress.H-APT-02</x:v>
      </x:c>
      <x:c r="N16" s="94" t="str">
        <x:v>src/core/radio-program.js · CAMPAIGN_RADIO_BEATS</x:v>
      </x:c>
    </x:row>
    <x:row r="17" ht="46" customHeight="1">
      <x:c r="A17" s="95" t="str">
        <x:v>BEAT</x:v>
      </x:c>
      <x:c r="B17" s="95" t="str">
        <x:v>bank_heist</x:v>
      </x:c>
      <x:c r="C17" s="95" t="str">
        <x:v>musicFirst</x:v>
      </x:c>
      <x:c r="D17" s="95" t="str"/>
      <x:c r="E17" s="95" t="str">
        <x:v>N/A</x:v>
      </x:c>
      <x:c r="F17" s="95" t="str"/>
      <x:c r="G17" s="95" t="str"/>
      <x:c r="H17" s="95" t="str"/>
      <x:c r="I17" s="95" t="str"/>
      <x:c r="J17" s="95" t="str"/>
      <x:c r="K17" s="95" t="str"/>
      <x:c r="L17" s="95" t="str"/>
      <x:c r="M17" s="95" t="str">
        <x:v>N/A</x:v>
      </x:c>
      <x:c r="N17" s="95" t="str">
        <x:v>src/core/radio-program.js · CAMPAIGN_RADIO_BEATS</x:v>
      </x:c>
    </x:row>
    <x:row r="18" ht="46" customHeight="1">
      <x:c r="A18" s="94" t="str">
        <x:v>BEAT</x:v>
      </x:c>
      <x:c r="B18" s="94" t="str">
        <x:v>new_space_call</x:v>
      </x:c>
      <x:c r="C18" s="94" t="str">
        <x:v>talkFirst</x:v>
      </x:c>
      <x:c r="D18" s="94" t="str">
        <x:v>apartment</x:v>
      </x:c>
      <x:c r="E18" s="94" t="str">
        <x:v>enabled</x:v>
      </x:c>
      <x:c r="F18" s="94" t="str">
        <x:v>H-APT-03</x:v>
      </x:c>
      <x:c r="G18" s="94" t="str"/>
      <x:c r="H18" s="94" t="str"/>
      <x:c r="I18" s="94" t="str"/>
      <x:c r="J18" s="94" t="str"/>
      <x:c r="K18" s="94" t="str"/>
      <x:c r="L18" s="94" t="str"/>
      <x:c r="M18" s="94" t="str">
        <x:v>campaign.radio.programProgress.H-APT-03</x:v>
      </x:c>
      <x:c r="N18" s="94" t="str">
        <x:v>src/core/radio-program.js · CAMPAIGN_RADIO_BEATS</x:v>
      </x:c>
    </x:row>
    <x:row r="19" ht="46" customHeight="1">
      <x:c r="A19" s="95" t="str">
        <x:v>BEAT</x:v>
      </x:c>
      <x:c r="B19" s="95" t="str">
        <x:v>silver_pines</x:v>
      </x:c>
      <x:c r="C19" s="95" t="str">
        <x:v>musicFirst</x:v>
      </x:c>
      <x:c r="D19" s="95" t="str">
        <x:v>silver_pines_lead_cart</x:v>
      </x:c>
      <x:c r="E19" s="95" t="str">
        <x:v>disabled</x:v>
      </x:c>
      <x:c r="F19" s="95" t="str"/>
      <x:c r="G19" s="95" t="str"/>
      <x:c r="H19" s="95" t="str"/>
      <x:c r="I19" s="95" t="str"/>
      <x:c r="J19" s="95" t="str"/>
      <x:c r="K19" s="95" t="str"/>
      <x:c r="L19" s="95" t="str"/>
      <x:c r="M19" s="95" t="str">
        <x:v>N/A</x:v>
      </x:c>
      <x:c r="N19" s="95" t="str">
        <x:v>src/core/radio-program.js · CAMPAIGN_RADIO_BEATS</x:v>
      </x:c>
    </x:row>
    <x:row r="20" ht="46" customHeight="1">
      <x:c r="A20" s="94" t="str">
        <x:v>BEAT</x:v>
      </x:c>
      <x:c r="B20" s="94" t="str">
        <x:v>luxury_apartment_intro</x:v>
      </x:c>
      <x:c r="C20" s="94" t="str">
        <x:v>talkFirst</x:v>
      </x:c>
      <x:c r="D20" s="94" t="str">
        <x:v>luxury_apartment</x:v>
      </x:c>
      <x:c r="E20" s="94" t="str">
        <x:v>enabled</x:v>
      </x:c>
      <x:c r="F20" s="94" t="str">
        <x:v>H-LUX-01</x:v>
      </x:c>
      <x:c r="G20" s="94" t="str"/>
      <x:c r="H20" s="94" t="str"/>
      <x:c r="I20" s="94" t="str"/>
      <x:c r="J20" s="94" t="str"/>
      <x:c r="K20" s="94" t="str"/>
      <x:c r="L20" s="94" t="str"/>
      <x:c r="M20" s="94" t="str">
        <x:v>campaign.radio.programProgress.H-LUX-01</x:v>
      </x:c>
      <x:c r="N20" s="94" t="str">
        <x:v>src/core/radio-program.js · CAMPAIGN_RADIO_BEATS</x:v>
      </x:c>
    </x:row>
    <x:row r="21" ht="46" customHeight="1">
      <x:c r="A21" s="95" t="str">
        <x:v>BEAT</x:v>
      </x:c>
      <x:c r="B21" s="95" t="str">
        <x:v>front_and_center</x:v>
      </x:c>
      <x:c r="C21" s="95" t="str">
        <x:v>musicFirst</x:v>
      </x:c>
      <x:c r="D21" s="95" t="str"/>
      <x:c r="E21" s="95" t="str">
        <x:v>N/A</x:v>
      </x:c>
      <x:c r="F21" s="95" t="str"/>
      <x:c r="G21" s="95" t="str"/>
      <x:c r="H21" s="95" t="str"/>
      <x:c r="I21" s="95" t="str"/>
      <x:c r="J21" s="95" t="str"/>
      <x:c r="K21" s="95" t="str"/>
      <x:c r="L21" s="95" t="str"/>
      <x:c r="M21" s="95" t="str">
        <x:v>N/A</x:v>
      </x:c>
      <x:c r="N21" s="95" t="str">
        <x:v>src/core/radio-program.js · CAMPAIGN_RADIO_BEATS</x:v>
      </x:c>
    </x:row>
    <x:row r="22" ht="46" customHeight="1">
      <x:c r="A22" s="94" t="str">
        <x:v>BEAT</x:v>
      </x:c>
      <x:c r="B22" s="94" t="str">
        <x:v>margo_stayover</x:v>
      </x:c>
      <x:c r="C22" s="94" t="str">
        <x:v>talkFirst</x:v>
      </x:c>
      <x:c r="D22" s="94" t="str">
        <x:v>luxury_apartment</x:v>
      </x:c>
      <x:c r="E22" s="94" t="str">
        <x:v>enabled</x:v>
      </x:c>
      <x:c r="F22" s="94" t="str">
        <x:v>H-LUX-02</x:v>
      </x:c>
      <x:c r="G22" s="94" t="str"/>
      <x:c r="H22" s="94" t="str"/>
      <x:c r="I22" s="94" t="str"/>
      <x:c r="J22" s="94" t="str"/>
      <x:c r="K22" s="94" t="str"/>
      <x:c r="L22" s="94" t="str"/>
      <x:c r="M22" s="94" t="str">
        <x:v>campaign.radio.programProgress.H-LUX-02</x:v>
      </x:c>
      <x:c r="N22" s="94" t="str">
        <x:v>src/core/radio-program.js · CAMPAIGN_RADIO_BEATS</x:v>
      </x:c>
    </x:row>
    <x:row r="23" ht="46" customHeight="1">
      <x:c r="A23" s="95" t="str">
        <x:v>BEAT</x:v>
      </x:c>
      <x:c r="B23" s="95" t="str">
        <x:v>luxury_apartment_morning</x:v>
      </x:c>
      <x:c r="C23" s="95" t="str">
        <x:v>talkFirst</x:v>
      </x:c>
      <x:c r="D23" s="95" t="str">
        <x:v>luxury_apartment</x:v>
      </x:c>
      <x:c r="E23" s="95" t="str">
        <x:v>enabled</x:v>
      </x:c>
      <x:c r="F23" s="95" t="str">
        <x:v>H-LUX-03</x:v>
      </x:c>
      <x:c r="G23" s="95" t="str"/>
      <x:c r="H23" s="95" t="str"/>
      <x:c r="I23" s="95" t="str"/>
      <x:c r="J23" s="95" t="str"/>
      <x:c r="K23" s="95" t="str"/>
      <x:c r="L23" s="95" t="str"/>
      <x:c r="M23" s="95" t="str">
        <x:v>campaign.radio.programProgress.H-LUX-03</x:v>
      </x:c>
      <x:c r="N23" s="95" t="str">
        <x:v>src/core/radio-program.js · CAMPAIGN_RADIO_BEATS</x:v>
      </x:c>
    </x:row>
    <x:row r="24" ht="46" customHeight="1">
      <x:c r="A24" s="94" t="str">
        <x:v>BEAT</x:v>
      </x:c>
      <x:c r="B24" s="94" t="str">
        <x:v>no_wake</x:v>
      </x:c>
      <x:c r="C24" s="94" t="str">
        <x:v>musicFirst</x:v>
      </x:c>
      <x:c r="D24" s="94" t="str">
        <x:v>no_wake_cabin</x:v>
      </x:c>
      <x:c r="E24" s="94" t="str">
        <x:v>disabled</x:v>
      </x:c>
      <x:c r="F24" s="94" t="str"/>
      <x:c r="G24" s="94" t="str"/>
      <x:c r="H24" s="94" t="str"/>
      <x:c r="I24" s="94" t="str"/>
      <x:c r="J24" s="94" t="str"/>
      <x:c r="K24" s="94" t="str"/>
      <x:c r="L24" s="94" t="str"/>
      <x:c r="M24" s="94" t="str">
        <x:v>N/A</x:v>
      </x:c>
      <x:c r="N24" s="94" t="str">
        <x:v>src/core/radio-program.js · CAMPAIGN_RADIO_BEATS</x:v>
      </x:c>
    </x:row>
    <x:row r="25" ht="46" customHeight="1">
      <x:c r="A25" s="95" t="str">
        <x:v>BEAT</x:v>
      </x:c>
      <x:c r="B25" s="95" t="str">
        <x:v>luxury_apartment_return</x:v>
      </x:c>
      <x:c r="C25" s="95" t="str">
        <x:v>talkFirst</x:v>
      </x:c>
      <x:c r="D25" s="95" t="str">
        <x:v>luxury_apartment</x:v>
      </x:c>
      <x:c r="E25" s="95" t="str">
        <x:v>enabled</x:v>
      </x:c>
      <x:c r="F25" s="95" t="str">
        <x:v>H-LUX-04</x:v>
      </x:c>
      <x:c r="G25" s="95" t="str"/>
      <x:c r="H25" s="95" t="str"/>
      <x:c r="I25" s="95" t="str"/>
      <x:c r="J25" s="95" t="str"/>
      <x:c r="K25" s="95" t="str"/>
      <x:c r="L25" s="95" t="str"/>
      <x:c r="M25" s="95" t="str">
        <x:v>campaign.radio.programProgress.H-LUX-04</x:v>
      </x:c>
      <x:c r="N25" s="95" t="str">
        <x:v>src/core/radio-program.js · CAMPAIGN_RADIO_BEATS</x:v>
      </x:c>
    </x:row>
    <x:row r="26" ht="46" customHeight="1">
      <x:c r="A26" s="94" t="str">
        <x:v>BEAT</x:v>
      </x:c>
      <x:c r="B26" s="94" t="str">
        <x:v>silver_case_setup</x:v>
      </x:c>
      <x:c r="C26" s="94" t="str">
        <x:v>musicFirst</x:v>
      </x:c>
      <x:c r="D26" s="94" t="str"/>
      <x:c r="E26" s="94" t="str">
        <x:v>N/A</x:v>
      </x:c>
      <x:c r="F26" s="94" t="str"/>
      <x:c r="G26" s="94" t="str"/>
      <x:c r="H26" s="94" t="str"/>
      <x:c r="I26" s="94" t="str"/>
      <x:c r="J26" s="94" t="str"/>
      <x:c r="K26" s="94" t="str"/>
      <x:c r="L26" s="94" t="str"/>
      <x:c r="M26" s="94" t="str">
        <x:v>N/A</x:v>
      </x:c>
      <x:c r="N26" s="94" t="str">
        <x:v>src/core/radio-program.js · CAMPAIGN_RADIO_BEATS</x:v>
      </x:c>
    </x:row>
    <x:row r="27" ht="46" customHeight="1">
      <x:c r="A27" s="95" t="str">
        <x:v>BEAT</x:v>
      </x:c>
      <x:c r="B27" s="95" t="str">
        <x:v>silver_case_mansion</x:v>
      </x:c>
      <x:c r="C27" s="95" t="str">
        <x:v>talkFirst</x:v>
      </x:c>
      <x:c r="D27" s="95" t="str">
        <x:v>mansion_house</x:v>
      </x:c>
      <x:c r="E27" s="95" t="str">
        <x:v>enabled</x:v>
      </x:c>
      <x:c r="F27" s="95" t="str">
        <x:v>H-MAN-01</x:v>
      </x:c>
      <x:c r="G27" s="95" t="str"/>
      <x:c r="H27" s="95" t="str"/>
      <x:c r="I27" s="95" t="str"/>
      <x:c r="J27" s="95" t="str"/>
      <x:c r="K27" s="95" t="str"/>
      <x:c r="L27" s="95" t="str"/>
      <x:c r="M27" s="95" t="str">
        <x:v>campaign.radio.programProgress.H-MAN-01</x:v>
      </x:c>
      <x:c r="N27" s="95" t="str">
        <x:v>src/core/radio-program.js · CAMPAIGN_RADIO_BEATS</x:v>
      </x:c>
    </x:row>
    <x:row r="28" ht="46" customHeight="1">
      <x:c r="A28" s="94" t="str">
        <x:v>BEAT</x:v>
      </x:c>
      <x:c r="B28" s="94" t="str">
        <x:v>silent_squatch</x:v>
      </x:c>
      <x:c r="C28" s="94" t="str">
        <x:v>talkFirst</x:v>
      </x:c>
      <x:c r="D28" s="94" t="str">
        <x:v>mansion_house</x:v>
      </x:c>
      <x:c r="E28" s="94" t="str">
        <x:v>enabled</x:v>
      </x:c>
      <x:c r="F28" s="94" t="str">
        <x:v>H-MAN-01</x:v>
      </x:c>
      <x:c r="G28" s="94" t="str"/>
      <x:c r="H28" s="94" t="str"/>
      <x:c r="I28" s="94" t="str"/>
      <x:c r="J28" s="94" t="str"/>
      <x:c r="K28" s="94" t="str"/>
      <x:c r="L28" s="94" t="str"/>
      <x:c r="M28" s="94" t="str">
        <x:v>campaign.radio.programProgress.H-MAN-01</x:v>
      </x:c>
      <x:c r="N28" s="94" t="str">
        <x:v>src/core/radio-program.js · CAMPAIGN_RADIO_BEATS</x:v>
      </x:c>
    </x:row>
    <x:row r="29" ht="46" customHeight="1">
      <x:c r="A29" s="95" t="str">
        <x:v>BEAT</x:v>
      </x:c>
      <x:c r="B29" s="95" t="str">
        <x:v>mansion_siege</x:v>
      </x:c>
      <x:c r="C29" s="95" t="str">
        <x:v>intentionalSilence</x:v>
      </x:c>
      <x:c r="D29" s="95" t="str"/>
      <x:c r="E29" s="95" t="str">
        <x:v>N/A</x:v>
      </x:c>
      <x:c r="F29" s="95" t="str"/>
      <x:c r="G29" s="95" t="str"/>
      <x:c r="H29" s="95" t="str"/>
      <x:c r="I29" s="95" t="str"/>
      <x:c r="J29" s="95" t="str"/>
      <x:c r="K29" s="95" t="str"/>
      <x:c r="L29" s="95" t="str"/>
      <x:c r="M29" s="95" t="str">
        <x:v>N/A</x:v>
      </x:c>
      <x:c r="N29" s="95" t="str">
        <x:v>src/core/radio-program.js · CAMPAIGN_RADIO_BEATS</x:v>
      </x:c>
    </x:row>
    <x:row r="30" ht="46" customHeight="1">
      <x:c r="A30" s="94" t="str">
        <x:v>BEAT</x:v>
      </x:c>
      <x:c r="B30" s="94" t="str">
        <x:v>enola_squatch</x:v>
      </x:c>
      <x:c r="C30" s="94" t="str">
        <x:v>musicFirst</x:v>
      </x:c>
      <x:c r="D30" s="94" t="str"/>
      <x:c r="E30" s="94" t="str">
        <x:v>N/A</x:v>
      </x:c>
      <x:c r="F30" s="94" t="str"/>
      <x:c r="G30" s="94" t="str"/>
      <x:c r="H30" s="94" t="str"/>
      <x:c r="I30" s="94" t="str"/>
      <x:c r="J30" s="94" t="str"/>
      <x:c r="K30" s="94" t="str"/>
      <x:c r="L30" s="94" t="str"/>
      <x:c r="M30" s="94" t="str">
        <x:v>N/A</x:v>
      </x:c>
      <x:c r="N30" s="94" t="str">
        <x:v>src/core/radio-program.js · CAMPAIGN_RADIO_BEATS</x:v>
      </x:c>
    </x:row>
    <x:row r="31" ht="46" customHeight="1">
      <x:c r="A31" s="95" t="str">
        <x:v>BEAT</x:v>
      </x:c>
      <x:c r="B31" s="95" t="str">
        <x:v>mansion_return</x:v>
      </x:c>
      <x:c r="C31" s="95" t="str">
        <x:v>talkFirst</x:v>
      </x:c>
      <x:c r="D31" s="95" t="str">
        <x:v>mansion_house</x:v>
      </x:c>
      <x:c r="E31" s="95" t="str">
        <x:v>enabled</x:v>
      </x:c>
      <x:c r="F31" s="95" t="str">
        <x:v>H-MAN-02</x:v>
      </x:c>
      <x:c r="G31" s="95" t="str"/>
      <x:c r="H31" s="95" t="str"/>
      <x:c r="I31" s="95" t="str"/>
      <x:c r="J31" s="95" t="str"/>
      <x:c r="K31" s="95" t="str"/>
      <x:c r="L31" s="95" t="str"/>
      <x:c r="M31" s="95" t="str">
        <x:v>campaign.radio.programProgress.H-MAN-02</x:v>
      </x:c>
      <x:c r="N31" s="95" t="str">
        <x:v>src/core/radio-program.js · CAMPAIGN_RADIO_BEATS</x:v>
      </x:c>
    </x:row>
    <x:row r="32" ht="46" customHeight="1">
      <x:c r="A32" s="94" t="str">
        <x:v>BEAT</x:v>
      </x:c>
      <x:c r="B32" s="94" t="str">
        <x:v>cartel_palace</x:v>
      </x:c>
      <x:c r="C32" s="94" t="str">
        <x:v>musicFirst</x:v>
      </x:c>
      <x:c r="D32" s="94" t="str"/>
      <x:c r="E32" s="94" t="str">
        <x:v>N/A</x:v>
      </x:c>
      <x:c r="F32" s="94" t="str"/>
      <x:c r="G32" s="94" t="str"/>
      <x:c r="H32" s="94" t="str"/>
      <x:c r="I32" s="94" t="str"/>
      <x:c r="J32" s="94" t="str"/>
      <x:c r="K32" s="94" t="str"/>
      <x:c r="L32" s="94" t="str"/>
      <x:c r="M32" s="94" t="str">
        <x:v>N/A</x:v>
      </x:c>
      <x:c r="N32" s="94" t="str">
        <x:v>src/core/radio-program.js · CAMPAIGN_RADIO_BEATS</x:v>
      </x:c>
    </x:row>
    <x:row r="33" ht="46" customHeight="1">
      <x:c r="A33" s="95" t="str">
        <x:v>BEAT</x:v>
      </x:c>
      <x:c r="B33" s="95" t="str">
        <x:v>special_meeting_call</x:v>
      </x:c>
      <x:c r="C33" s="95" t="str">
        <x:v>talkFirst</x:v>
      </x:c>
      <x:c r="D33" s="95" t="str">
        <x:v>luxury_apartment</x:v>
      </x:c>
      <x:c r="E33" s="95" t="str">
        <x:v>enabled</x:v>
      </x:c>
      <x:c r="F33" s="95" t="str">
        <x:v>H-LUX-05</x:v>
      </x:c>
      <x:c r="G33" s="95" t="str"/>
      <x:c r="H33" s="95" t="str"/>
      <x:c r="I33" s="95" t="str"/>
      <x:c r="J33" s="95" t="str"/>
      <x:c r="K33" s="95" t="str"/>
      <x:c r="L33" s="95" t="str"/>
      <x:c r="M33" s="95" t="str">
        <x:v>campaign.radio.programProgress.H-LUX-05</x:v>
      </x:c>
      <x:c r="N33" s="95" t="str">
        <x:v>src/core/radio-program.js · CAMPAIGN_RADIO_BEATS</x:v>
      </x:c>
    </x:row>
    <x:row r="34" ht="46" customHeight="1">
      <x:c r="A34" s="94" t="str">
        <x:v>BEAT</x:v>
      </x:c>
      <x:c r="B34" s="94" t="str">
        <x:v>pickup_ride</x:v>
      </x:c>
      <x:c r="C34" s="94" t="str">
        <x:v>musicFirst</x:v>
      </x:c>
      <x:c r="D34" s="94" t="str"/>
      <x:c r="E34" s="94" t="str">
        <x:v>N/A</x:v>
      </x:c>
      <x:c r="F34" s="94" t="str"/>
      <x:c r="G34" s="94" t="str"/>
      <x:c r="H34" s="94" t="str"/>
      <x:c r="I34" s="94" t="str"/>
      <x:c r="J34" s="94" t="str"/>
      <x:c r="K34" s="94" t="str"/>
      <x:c r="L34" s="94" t="str"/>
      <x:c r="M34" s="94" t="str">
        <x:v>N/A</x:v>
      </x:c>
      <x:c r="N34" s="94" t="str">
        <x:v>src/core/radio-program.js · CAMPAIGN_RADIO_BEATS</x:v>
      </x:c>
    </x:row>
    <x:row r="35" ht="46" customHeight="1">
      <x:c r="A35" s="95" t="str">
        <x:v>BEAT</x:v>
      </x:c>
      <x:c r="B35" s="95" t="str">
        <x:v>initiation</x:v>
      </x:c>
      <x:c r="C35" s="95" t="str">
        <x:v>musicFirst</x:v>
      </x:c>
      <x:c r="D35" s="95" t="str"/>
      <x:c r="E35" s="95" t="str">
        <x:v>N/A</x:v>
      </x:c>
      <x:c r="F35" s="95" t="str"/>
      <x:c r="G35" s="95" t="str"/>
      <x:c r="H35" s="95" t="str"/>
      <x:c r="I35" s="95" t="str"/>
      <x:c r="J35" s="95" t="str"/>
      <x:c r="K35" s="95" t="str"/>
      <x:c r="L35" s="95" t="str"/>
      <x:c r="M35" s="95" t="str">
        <x:v>N/A</x:v>
      </x:c>
      <x:c r="N35" s="95" t="str">
        <x:v>src/core/radio-program.js · CAMPAIGN_RADIO_BEATS</x:v>
      </x:c>
    </x:row>
    <x:row r="36" ht="46" customHeight="1">
      <x:c r="A36" s="94" t="str">
        <x:v>PROGRAM</x:v>
      </x:c>
      <x:c r="B36" s="94" t="str">
        <x:v>first_apartment</x:v>
      </x:c>
      <x:c r="C36" s="94" t="str">
        <x:v>talkFirst</x:v>
      </x:c>
      <x:c r="D36" s="94" t="str">
        <x:v>apartment</x:v>
      </x:c>
      <x:c r="E36" s="94" t="str">
        <x:v>enabled</x:v>
      </x:c>
      <x:c r="F36" s="94" t="str">
        <x:v>H-APT-01</x:v>
      </x:c>
      <x:c r="G36" s="94" t="n">
        <x:v>300</x:v>
      </x:c>
      <x:c r="H36" s="94" t="n">
        <x:v>7</x:v>
      </x:c>
      <x:c r="I36" s="94" t="str"/>
      <x:c r="J36" s="94" t="str"/>
      <x:c r="K36" s="94" t="str"/>
      <x:c r="L36" s="94" t="str"/>
      <x:c r="M36" s="94" t="str">
        <x:v>campaign.radio.programProgress.H-APT-01</x:v>
      </x:c>
      <x:c r="N36" s="94" t="str">
        <x:v>src/core/radio-program.js · RADIO_PROGRAMS</x:v>
      </x:c>
    </x:row>
    <x:row r="37" ht="46" customHeight="1">
      <x:c r="A37" s="95" t="str">
        <x:v>BLOCK</x:v>
      </x:c>
      <x:c r="B37" s="95" t="str">
        <x:v>first_apartment</x:v>
      </x:c>
      <x:c r="C37" s="95" t="str">
        <x:v>talkFirst</x:v>
      </x:c>
      <x:c r="D37" s="95" t="str">
        <x:v>apartment</x:v>
      </x:c>
      <x:c r="E37" s="95" t="str">
        <x:v>enabled</x:v>
      </x:c>
      <x:c r="F37" s="95" t="str">
        <x:v>H-APT-01</x:v>
      </x:c>
      <x:c r="G37" s="95" t="n">
        <x:v>300</x:v>
      </x:c>
      <x:c r="H37" s="95" t="n">
        <x:v>7</x:v>
      </x:c>
      <x:c r="I37" s="95" t="n">
        <x:v>1</x:v>
      </x:c>
      <x:c r="J37" s="95" t="str">
        <x:v>ident</x:v>
      </x:c>
      <x:c r="K37" s="95" t="str">
        <x:v>ident</x:v>
      </x:c>
      <x:c r="L37" s="95" t="str">
        <x:v>ident</x:v>
      </x:c>
      <x:c r="M37" s="95" t="str">
        <x:v>campaign.radio.programProgress.H-APT-01</x:v>
      </x:c>
      <x:c r="N37" s="95" t="str">
        <x:v>tools/verify-radio-program.mjs · ordered playback receipt</x:v>
      </x:c>
    </x:row>
    <x:row r="38" ht="46" customHeight="1">
      <x:c r="A38" s="94" t="str">
        <x:v>BLOCK</x:v>
      </x:c>
      <x:c r="B38" s="94" t="str">
        <x:v>first_apartment</x:v>
      </x:c>
      <x:c r="C38" s="94" t="str">
        <x:v>talkFirst</x:v>
      </x:c>
      <x:c r="D38" s="94" t="str">
        <x:v>apartment</x:v>
      </x:c>
      <x:c r="E38" s="94" t="str">
        <x:v>enabled</x:v>
      </x:c>
      <x:c r="F38" s="94" t="str">
        <x:v>H-APT-01</x:v>
      </x:c>
      <x:c r="G38" s="94" t="n">
        <x:v>300</x:v>
      </x:c>
      <x:c r="H38" s="94" t="n">
        <x:v>7</x:v>
      </x:c>
      <x:c r="I38" s="94" t="n">
        <x:v>2</x:v>
      </x:c>
      <x:c r="J38" s="94" t="str">
        <x:v>show-intro</x:v>
      </x:c>
      <x:c r="K38" s="94" t="str">
        <x:v>showIntro</x:v>
      </x:c>
      <x:c r="L38" s="94" t="str">
        <x:v>show-intro</x:v>
      </x:c>
      <x:c r="M38" s="94" t="str">
        <x:v>campaign.radio.programProgress.H-APT-01</x:v>
      </x:c>
      <x:c r="N38" s="94" t="str">
        <x:v>tools/verify-radio-program.mjs · ordered playback receipt</x:v>
      </x:c>
    </x:row>
    <x:row r="39" ht="46" customHeight="1">
      <x:c r="A39" s="95" t="str">
        <x:v>BLOCK</x:v>
      </x:c>
      <x:c r="B39" s="95" t="str">
        <x:v>first_apartment</x:v>
      </x:c>
      <x:c r="C39" s="95" t="str">
        <x:v>talkFirst</x:v>
      </x:c>
      <x:c r="D39" s="95" t="str">
        <x:v>apartment</x:v>
      </x:c>
      <x:c r="E39" s="95" t="str">
        <x:v>enabled</x:v>
      </x:c>
      <x:c r="F39" s="95" t="str">
        <x:v>H-APT-01</x:v>
      </x:c>
      <x:c r="G39" s="95" t="n">
        <x:v>300</x:v>
      </x:c>
      <x:c r="H39" s="95" t="n">
        <x:v>7</x:v>
      </x:c>
      <x:c r="I39" s="95" t="n">
        <x:v>3</x:v>
      </x:c>
      <x:c r="J39" s="95" t="str">
        <x:v>talk-01</x:v>
      </x:c>
      <x:c r="K39" s="95" t="str">
        <x:v>talk</x:v>
      </x:c>
      <x:c r="L39" s="95" t="str">
        <x:v>talk-01</x:v>
      </x:c>
      <x:c r="M39" s="95" t="str">
        <x:v>campaign.radio.programProgress.H-APT-01</x:v>
      </x:c>
      <x:c r="N39" s="95" t="str">
        <x:v>tools/verify-radio-program.mjs · ordered playback receipt</x:v>
      </x:c>
    </x:row>
    <x:row r="40" ht="46" customHeight="1">
      <x:c r="A40" s="94" t="str">
        <x:v>BLOCK</x:v>
      </x:c>
      <x:c r="B40" s="94" t="str">
        <x:v>first_apartment</x:v>
      </x:c>
      <x:c r="C40" s="94" t="str">
        <x:v>talkFirst</x:v>
      </x:c>
      <x:c r="D40" s="94" t="str">
        <x:v>apartment</x:v>
      </x:c>
      <x:c r="E40" s="94" t="str">
        <x:v>enabled</x:v>
      </x:c>
      <x:c r="F40" s="94" t="str">
        <x:v>H-APT-01</x:v>
      </x:c>
      <x:c r="G40" s="94" t="n">
        <x:v>300</x:v>
      </x:c>
      <x:c r="H40" s="94" t="n">
        <x:v>7</x:v>
      </x:c>
      <x:c r="I40" s="94" t="n">
        <x:v>4</x:v>
      </x:c>
      <x:c r="J40" s="94" t="str">
        <x:v>talk-02</x:v>
      </x:c>
      <x:c r="K40" s="94" t="str">
        <x:v>talk</x:v>
      </x:c>
      <x:c r="L40" s="94" t="str">
        <x:v>talk-02</x:v>
      </x:c>
      <x:c r="M40" s="94" t="str">
        <x:v>campaign.radio.programProgress.H-APT-01</x:v>
      </x:c>
      <x:c r="N40" s="94" t="str">
        <x:v>tools/verify-radio-program.mjs · ordered playback receipt</x:v>
      </x:c>
    </x:row>
    <x:row r="41" ht="46" customHeight="1">
      <x:c r="A41" s="95" t="str">
        <x:v>BLOCK</x:v>
      </x:c>
      <x:c r="B41" s="95" t="str">
        <x:v>first_apartment</x:v>
      </x:c>
      <x:c r="C41" s="95" t="str">
        <x:v>talkFirst</x:v>
      </x:c>
      <x:c r="D41" s="95" t="str">
        <x:v>apartment</x:v>
      </x:c>
      <x:c r="E41" s="95" t="str">
        <x:v>enabled</x:v>
      </x:c>
      <x:c r="F41" s="95" t="str">
        <x:v>H-APT-01</x:v>
      </x:c>
      <x:c r="G41" s="95" t="n">
        <x:v>300</x:v>
      </x:c>
      <x:c r="H41" s="95" t="n">
        <x:v>7</x:v>
      </x:c>
      <x:c r="I41" s="95" t="n">
        <x:v>5</x:v>
      </x:c>
      <x:c r="J41" s="95" t="str">
        <x:v>talk-03</x:v>
      </x:c>
      <x:c r="K41" s="95" t="str">
        <x:v>talk</x:v>
      </x:c>
      <x:c r="L41" s="95" t="str">
        <x:v>talk-03</x:v>
      </x:c>
      <x:c r="M41" s="95" t="str">
        <x:v>campaign.radio.programProgress.H-APT-01</x:v>
      </x:c>
      <x:c r="N41" s="95" t="str">
        <x:v>tools/verify-radio-program.mjs · ordered playback receipt</x:v>
      </x:c>
    </x:row>
    <x:row r="42" ht="46" customHeight="1">
      <x:c r="A42" s="94" t="str">
        <x:v>BLOCK</x:v>
      </x:c>
      <x:c r="B42" s="94" t="str">
        <x:v>first_apartment</x:v>
      </x:c>
      <x:c r="C42" s="94" t="str">
        <x:v>talkFirst</x:v>
      </x:c>
      <x:c r="D42" s="94" t="str">
        <x:v>apartment</x:v>
      </x:c>
      <x:c r="E42" s="94" t="str">
        <x:v>enabled</x:v>
      </x:c>
      <x:c r="F42" s="94" t="str">
        <x:v>H-APT-01</x:v>
      </x:c>
      <x:c r="G42" s="94" t="n">
        <x:v>300</x:v>
      </x:c>
      <x:c r="H42" s="94" t="n">
        <x:v>7</x:v>
      </x:c>
      <x:c r="I42" s="94" t="n">
        <x:v>6</x:v>
      </x:c>
      <x:c r="J42" s="94" t="str">
        <x:v>talk-04</x:v>
      </x:c>
      <x:c r="K42" s="94" t="str">
        <x:v>talk</x:v>
      </x:c>
      <x:c r="L42" s="94" t="str">
        <x:v>talk-04</x:v>
      </x:c>
      <x:c r="M42" s="94" t="str">
        <x:v>campaign.radio.programProgress.H-APT-01</x:v>
      </x:c>
      <x:c r="N42" s="94" t="str">
        <x:v>tools/verify-radio-program.mjs · ordered playback receipt</x:v>
      </x:c>
    </x:row>
    <x:row r="43" ht="46" customHeight="1">
      <x:c r="A43" s="95" t="str">
        <x:v>BLOCK</x:v>
      </x:c>
      <x:c r="B43" s="95" t="str">
        <x:v>first_apartment</x:v>
      </x:c>
      <x:c r="C43" s="95" t="str">
        <x:v>talkFirst</x:v>
      </x:c>
      <x:c r="D43" s="95" t="str">
        <x:v>apartment</x:v>
      </x:c>
      <x:c r="E43" s="95" t="str">
        <x:v>enabled</x:v>
      </x:c>
      <x:c r="F43" s="95" t="str">
        <x:v>H-APT-01</x:v>
      </x:c>
      <x:c r="G43" s="95" t="n">
        <x:v>300</x:v>
      </x:c>
      <x:c r="H43" s="95" t="n">
        <x:v>7</x:v>
      </x:c>
      <x:c r="I43" s="95" t="n">
        <x:v>7</x:v>
      </x:c>
      <x:c r="J43" s="95" t="str">
        <x:v>song-01</x:v>
      </x:c>
      <x:c r="K43" s="95" t="str">
        <x:v>song</x:v>
      </x:c>
      <x:c r="L43" s="95" t="str">
        <x:v>good-ole-days</x:v>
      </x:c>
      <x:c r="M43" s="95" t="str">
        <x:v>campaign.radio.programProgress.H-APT-01</x:v>
      </x:c>
      <x:c r="N43" s="95" t="str">
        <x:v>tools/verify-radio-program.mjs · ordered playback receipt</x:v>
      </x:c>
    </x:row>
    <x:row r="44" ht="46" customHeight="1">
      <x:c r="A44" s="94" t="str">
        <x:v>BLOCK</x:v>
      </x:c>
      <x:c r="B44" s="94" t="str">
        <x:v>first_apartment</x:v>
      </x:c>
      <x:c r="C44" s="94" t="str">
        <x:v>talkFirst</x:v>
      </x:c>
      <x:c r="D44" s="94" t="str">
        <x:v>apartment</x:v>
      </x:c>
      <x:c r="E44" s="94" t="str">
        <x:v>enabled</x:v>
      </x:c>
      <x:c r="F44" s="94" t="str">
        <x:v>H-APT-01</x:v>
      </x:c>
      <x:c r="G44" s="94" t="n">
        <x:v>300</x:v>
      </x:c>
      <x:c r="H44" s="94" t="n">
        <x:v>7</x:v>
      </x:c>
      <x:c r="I44" s="94" t="n">
        <x:v>8</x:v>
      </x:c>
      <x:c r="J44" s="94" t="str">
        <x:v>editorial</x:v>
      </x:c>
      <x:c r="K44" s="94" t="str">
        <x:v>notice</x:v>
      </x:c>
      <x:c r="L44" s="94" t="str">
        <x:v>notice.meeting.day_one</x:v>
      </x:c>
      <x:c r="M44" s="94" t="str">
        <x:v>campaign.radio.programProgress.H-APT-01</x:v>
      </x:c>
      <x:c r="N44" s="94" t="str">
        <x:v>tools/verify-radio-program.mjs · ordered playback receipt</x:v>
      </x:c>
    </x:row>
    <x:row r="45" ht="46" customHeight="1">
      <x:c r="A45" s="95" t="str">
        <x:v>BLOCK</x:v>
      </x:c>
      <x:c r="B45" s="95" t="str">
        <x:v>first_apartment</x:v>
      </x:c>
      <x:c r="C45" s="95" t="str">
        <x:v>talkFirst</x:v>
      </x:c>
      <x:c r="D45" s="95" t="str">
        <x:v>apartment</x:v>
      </x:c>
      <x:c r="E45" s="95" t="str">
        <x:v>enabled</x:v>
      </x:c>
      <x:c r="F45" s="95" t="str">
        <x:v>H-APT-01</x:v>
      </x:c>
      <x:c r="G45" s="95" t="n">
        <x:v>300</x:v>
      </x:c>
      <x:c r="H45" s="95" t="n">
        <x:v>7</x:v>
      </x:c>
      <x:c r="I45" s="95" t="n">
        <x:v>9</x:v>
      </x:c>
      <x:c r="J45" s="95" t="str">
        <x:v>talk-05</x:v>
      </x:c>
      <x:c r="K45" s="95" t="str">
        <x:v>talk</x:v>
      </x:c>
      <x:c r="L45" s="95" t="str">
        <x:v>talk-05</x:v>
      </x:c>
      <x:c r="M45" s="95" t="str">
        <x:v>campaign.radio.programProgress.H-APT-01</x:v>
      </x:c>
      <x:c r="N45" s="95" t="str">
        <x:v>tools/verify-radio-program.mjs · ordered playback receipt</x:v>
      </x:c>
    </x:row>
    <x:row r="46" ht="46" customHeight="1">
      <x:c r="A46" s="94" t="str">
        <x:v>BLOCK</x:v>
      </x:c>
      <x:c r="B46" s="94" t="str">
        <x:v>first_apartment</x:v>
      </x:c>
      <x:c r="C46" s="94" t="str">
        <x:v>talkFirst</x:v>
      </x:c>
      <x:c r="D46" s="94" t="str">
        <x:v>apartment</x:v>
      </x:c>
      <x:c r="E46" s="94" t="str">
        <x:v>enabled</x:v>
      </x:c>
      <x:c r="F46" s="94" t="str">
        <x:v>H-APT-01</x:v>
      </x:c>
      <x:c r="G46" s="94" t="n">
        <x:v>300</x:v>
      </x:c>
      <x:c r="H46" s="94" t="n">
        <x:v>7</x:v>
      </x:c>
      <x:c r="I46" s="94" t="n">
        <x:v>10</x:v>
      </x:c>
      <x:c r="J46" s="94" t="str">
        <x:v>talk-06</x:v>
      </x:c>
      <x:c r="K46" s="94" t="str">
        <x:v>talk</x:v>
      </x:c>
      <x:c r="L46" s="94" t="str">
        <x:v>talk-06</x:v>
      </x:c>
      <x:c r="M46" s="94" t="str">
        <x:v>campaign.radio.programProgress.H-APT-01</x:v>
      </x:c>
      <x:c r="N46" s="94" t="str">
        <x:v>tools/verify-radio-program.mjs · ordered playback receipt</x:v>
      </x:c>
    </x:row>
    <x:row r="47" ht="46" customHeight="1">
      <x:c r="A47" s="95" t="str">
        <x:v>BLOCK</x:v>
      </x:c>
      <x:c r="B47" s="95" t="str">
        <x:v>first_apartment</x:v>
      </x:c>
      <x:c r="C47" s="95" t="str">
        <x:v>talkFirst</x:v>
      </x:c>
      <x:c r="D47" s="95" t="str">
        <x:v>apartment</x:v>
      </x:c>
      <x:c r="E47" s="95" t="str">
        <x:v>enabled</x:v>
      </x:c>
      <x:c r="F47" s="95" t="str">
        <x:v>H-APT-01</x:v>
      </x:c>
      <x:c r="G47" s="95" t="n">
        <x:v>300</x:v>
      </x:c>
      <x:c r="H47" s="95" t="n">
        <x:v>7</x:v>
      </x:c>
      <x:c r="I47" s="95" t="n">
        <x:v>11</x:v>
      </x:c>
      <x:c r="J47" s="95" t="str">
        <x:v>talk-07</x:v>
      </x:c>
      <x:c r="K47" s="95" t="str">
        <x:v>talk</x:v>
      </x:c>
      <x:c r="L47" s="95" t="str">
        <x:v>talk-07</x:v>
      </x:c>
      <x:c r="M47" s="95" t="str">
        <x:v>campaign.radio.programProgress.H-APT-01</x:v>
      </x:c>
      <x:c r="N47" s="95" t="str">
        <x:v>tools/verify-radio-program.mjs · ordered playback receipt</x:v>
      </x:c>
    </x:row>
    <x:row r="48" ht="46" customHeight="1">
      <x:c r="A48" s="94" t="str">
        <x:v>BLOCK</x:v>
      </x:c>
      <x:c r="B48" s="94" t="str">
        <x:v>first_apartment</x:v>
      </x:c>
      <x:c r="C48" s="94" t="str">
        <x:v>talkFirst</x:v>
      </x:c>
      <x:c r="D48" s="94" t="str">
        <x:v>apartment</x:v>
      </x:c>
      <x:c r="E48" s="94" t="str">
        <x:v>enabled</x:v>
      </x:c>
      <x:c r="F48" s="94" t="str">
        <x:v>H-APT-01</x:v>
      </x:c>
      <x:c r="G48" s="94" t="n">
        <x:v>300</x:v>
      </x:c>
      <x:c r="H48" s="94" t="n">
        <x:v>7</x:v>
      </x:c>
      <x:c r="I48" s="94" t="n">
        <x:v>12</x:v>
      </x:c>
      <x:c r="J48" s="94" t="str">
        <x:v>talk-08</x:v>
      </x:c>
      <x:c r="K48" s="94" t="str">
        <x:v>talk</x:v>
      </x:c>
      <x:c r="L48" s="94" t="str">
        <x:v>talk-08</x:v>
      </x:c>
      <x:c r="M48" s="94" t="str">
        <x:v>campaign.radio.programProgress.H-APT-01</x:v>
      </x:c>
      <x:c r="N48" s="94" t="str">
        <x:v>tools/verify-radio-program.mjs · ordered playback receipt</x:v>
      </x:c>
    </x:row>
    <x:row r="49" ht="46" customHeight="1">
      <x:c r="A49" s="95" t="str">
        <x:v>BLOCK</x:v>
      </x:c>
      <x:c r="B49" s="95" t="str">
        <x:v>first_apartment</x:v>
      </x:c>
      <x:c r="C49" s="95" t="str">
        <x:v>talkFirst</x:v>
      </x:c>
      <x:c r="D49" s="95" t="str">
        <x:v>apartment</x:v>
      </x:c>
      <x:c r="E49" s="95" t="str">
        <x:v>enabled</x:v>
      </x:c>
      <x:c r="F49" s="95" t="str">
        <x:v>H-APT-01</x:v>
      </x:c>
      <x:c r="G49" s="95" t="n">
        <x:v>300</x:v>
      </x:c>
      <x:c r="H49" s="95" t="n">
        <x:v>7</x:v>
      </x:c>
      <x:c r="I49" s="95" t="n">
        <x:v>13</x:v>
      </x:c>
      <x:c r="J49" s="95" t="str">
        <x:v>song-02</x:v>
      </x:c>
      <x:c r="K49" s="95" t="str">
        <x:v>song</x:v>
      </x:c>
      <x:c r="L49" s="95" t="str">
        <x:v>cosmic-drift</x:v>
      </x:c>
      <x:c r="M49" s="95" t="str">
        <x:v>campaign.radio.programProgress.H-APT-01</x:v>
      </x:c>
      <x:c r="N49" s="95" t="str">
        <x:v>tools/verify-radio-program.mjs · ordered playback receipt</x:v>
      </x:c>
    </x:row>
    <x:row r="50" ht="46" customHeight="1">
      <x:c r="A50" s="94" t="str">
        <x:v>BLOCK</x:v>
      </x:c>
      <x:c r="B50" s="94" t="str">
        <x:v>first_apartment</x:v>
      </x:c>
      <x:c r="C50" s="94" t="str">
        <x:v>talkFirst</x:v>
      </x:c>
      <x:c r="D50" s="94" t="str">
        <x:v>apartment</x:v>
      </x:c>
      <x:c r="E50" s="94" t="str">
        <x:v>enabled</x:v>
      </x:c>
      <x:c r="F50" s="94" t="str">
        <x:v>H-APT-01</x:v>
      </x:c>
      <x:c r="G50" s="94" t="n">
        <x:v>300</x:v>
      </x:c>
      <x:c r="H50" s="94" t="n">
        <x:v>7</x:v>
      </x:c>
      <x:c r="I50" s="94" t="n">
        <x:v>14</x:v>
      </x:c>
      <x:c r="J50" s="94" t="str">
        <x:v>ad</x:v>
      </x:c>
      <x:c r="K50" s="94" t="str">
        <x:v>ad</x:v>
      </x:c>
      <x:c r="L50" s="94" t="str">
        <x:v>station.morning</x:v>
      </x:c>
      <x:c r="M50" s="94" t="str">
        <x:v>campaign.radio.programProgress.H-APT-01</x:v>
      </x:c>
      <x:c r="N50" s="94" t="str">
        <x:v>tools/verify-radio-program.mjs · ordered playback receipt</x:v>
      </x:c>
    </x:row>
    <x:row r="51" ht="46" customHeight="1">
      <x:c r="A51" s="95" t="str">
        <x:v>BLOCK</x:v>
      </x:c>
      <x:c r="B51" s="95" t="str">
        <x:v>first_apartment</x:v>
      </x:c>
      <x:c r="C51" s="95" t="str">
        <x:v>talkFirst</x:v>
      </x:c>
      <x:c r="D51" s="95" t="str">
        <x:v>apartment</x:v>
      </x:c>
      <x:c r="E51" s="95" t="str">
        <x:v>enabled</x:v>
      </x:c>
      <x:c r="F51" s="95" t="str">
        <x:v>H-APT-01</x:v>
      </x:c>
      <x:c r="G51" s="95" t="n">
        <x:v>300</x:v>
      </x:c>
      <x:c r="H51" s="95" t="n">
        <x:v>7</x:v>
      </x:c>
      <x:c r="I51" s="95" t="n">
        <x:v>15</x:v>
      </x:c>
      <x:c r="J51" s="95" t="str">
        <x:v>handoff</x:v>
      </x:c>
      <x:c r="K51" s="95" t="str">
        <x:v>handoff</x:v>
      </x:c>
      <x:c r="L51" s="95" t="str">
        <x:v>handoff</x:v>
      </x:c>
      <x:c r="M51" s="95" t="str">
        <x:v>campaign.radio.programProgress.H-APT-01</x:v>
      </x:c>
      <x:c r="N51" s="95" t="str">
        <x:v>tools/verify-radio-program.mjs · ordered playback receipt</x:v>
      </x:c>
    </x:row>
    <x:row r="52" ht="46" customHeight="1">
      <x:c r="A52" s="94" t="str">
        <x:v>PROGRAM</x:v>
      </x:c>
      <x:c r="B52" s="94" t="str">
        <x:v>cabin_lay_low</x:v>
      </x:c>
      <x:c r="C52" s="94" t="str">
        <x:v>talkFirst</x:v>
      </x:c>
      <x:c r="D52" s="94" t="str">
        <x:v>countryside_cabin</x:v>
      </x:c>
      <x:c r="E52" s="94" t="str">
        <x:v>enabled</x:v>
      </x:c>
      <x:c r="F52" s="94" t="str">
        <x:v>H-CAB-01</x:v>
      </x:c>
      <x:c r="G52" s="94" t="n">
        <x:v>300</x:v>
      </x:c>
      <x:c r="H52" s="94" t="n">
        <x:v>9</x:v>
      </x:c>
      <x:c r="I52" s="94" t="str"/>
      <x:c r="J52" s="94" t="str"/>
      <x:c r="K52" s="94" t="str"/>
      <x:c r="L52" s="94" t="str"/>
      <x:c r="M52" s="94" t="str">
        <x:v>campaign.radio.programProgress.H-CAB-01</x:v>
      </x:c>
      <x:c r="N52" s="94" t="str">
        <x:v>src/core/radio-program.js · RADIO_PROGRAMS</x:v>
      </x:c>
    </x:row>
    <x:row r="53" ht="46" customHeight="1">
      <x:c r="A53" s="95" t="str">
        <x:v>BLOCK</x:v>
      </x:c>
      <x:c r="B53" s="95" t="str">
        <x:v>cabin_lay_low</x:v>
      </x:c>
      <x:c r="C53" s="95" t="str">
        <x:v>talkFirst</x:v>
      </x:c>
      <x:c r="D53" s="95" t="str">
        <x:v>countryside_cabin</x:v>
      </x:c>
      <x:c r="E53" s="95" t="str">
        <x:v>enabled</x:v>
      </x:c>
      <x:c r="F53" s="95" t="str">
        <x:v>H-CAB-01</x:v>
      </x:c>
      <x:c r="G53" s="95" t="n">
        <x:v>300</x:v>
      </x:c>
      <x:c r="H53" s="95" t="n">
        <x:v>9</x:v>
      </x:c>
      <x:c r="I53" s="95" t="n">
        <x:v>1</x:v>
      </x:c>
      <x:c r="J53" s="95" t="str">
        <x:v>ident</x:v>
      </x:c>
      <x:c r="K53" s="95" t="str">
        <x:v>ident</x:v>
      </x:c>
      <x:c r="L53" s="95" t="str">
        <x:v>ident</x:v>
      </x:c>
      <x:c r="M53" s="95" t="str">
        <x:v>campaign.radio.programProgress.H-CAB-01</x:v>
      </x:c>
      <x:c r="N53" s="95" t="str">
        <x:v>tools/verify-radio-program.mjs · ordered playback receipt</x:v>
      </x:c>
    </x:row>
    <x:row r="54" ht="46" customHeight="1">
      <x:c r="A54" s="94" t="str">
        <x:v>BLOCK</x:v>
      </x:c>
      <x:c r="B54" s="94" t="str">
        <x:v>cabin_lay_low</x:v>
      </x:c>
      <x:c r="C54" s="94" t="str">
        <x:v>talkFirst</x:v>
      </x:c>
      <x:c r="D54" s="94" t="str">
        <x:v>countryside_cabin</x:v>
      </x:c>
      <x:c r="E54" s="94" t="str">
        <x:v>enabled</x:v>
      </x:c>
      <x:c r="F54" s="94" t="str">
        <x:v>H-CAB-01</x:v>
      </x:c>
      <x:c r="G54" s="94" t="n">
        <x:v>300</x:v>
      </x:c>
      <x:c r="H54" s="94" t="n">
        <x:v>9</x:v>
      </x:c>
      <x:c r="I54" s="94" t="n">
        <x:v>2</x:v>
      </x:c>
      <x:c r="J54" s="94" t="str">
        <x:v>show-intro</x:v>
      </x:c>
      <x:c r="K54" s="94" t="str">
        <x:v>showIntro</x:v>
      </x:c>
      <x:c r="L54" s="94" t="str">
        <x:v>show-intro</x:v>
      </x:c>
      <x:c r="M54" s="94" t="str">
        <x:v>campaign.radio.programProgress.H-CAB-01</x:v>
      </x:c>
      <x:c r="N54" s="94" t="str">
        <x:v>tools/verify-radio-program.mjs · ordered playback receipt</x:v>
      </x:c>
    </x:row>
    <x:row r="55" ht="46" customHeight="1">
      <x:c r="A55" s="95" t="str">
        <x:v>BLOCK</x:v>
      </x:c>
      <x:c r="B55" s="95" t="str">
        <x:v>cabin_lay_low</x:v>
      </x:c>
      <x:c r="C55" s="95" t="str">
        <x:v>talkFirst</x:v>
      </x:c>
      <x:c r="D55" s="95" t="str">
        <x:v>countryside_cabin</x:v>
      </x:c>
      <x:c r="E55" s="95" t="str">
        <x:v>enabled</x:v>
      </x:c>
      <x:c r="F55" s="95" t="str">
        <x:v>H-CAB-01</x:v>
      </x:c>
      <x:c r="G55" s="95" t="n">
        <x:v>300</x:v>
      </x:c>
      <x:c r="H55" s="95" t="n">
        <x:v>9</x:v>
      </x:c>
      <x:c r="I55" s="95" t="n">
        <x:v>3</x:v>
      </x:c>
      <x:c r="J55" s="95" t="str">
        <x:v>talk-01</x:v>
      </x:c>
      <x:c r="K55" s="95" t="str">
        <x:v>talk</x:v>
      </x:c>
      <x:c r="L55" s="95" t="str">
        <x:v>talk-01</x:v>
      </x:c>
      <x:c r="M55" s="95" t="str">
        <x:v>campaign.radio.programProgress.H-CAB-01</x:v>
      </x:c>
      <x:c r="N55" s="95" t="str">
        <x:v>tools/verify-radio-program.mjs · ordered playback receipt</x:v>
      </x:c>
    </x:row>
    <x:row r="56" ht="46" customHeight="1">
      <x:c r="A56" s="94" t="str">
        <x:v>BLOCK</x:v>
      </x:c>
      <x:c r="B56" s="94" t="str">
        <x:v>cabin_lay_low</x:v>
      </x:c>
      <x:c r="C56" s="94" t="str">
        <x:v>talkFirst</x:v>
      </x:c>
      <x:c r="D56" s="94" t="str">
        <x:v>countryside_cabin</x:v>
      </x:c>
      <x:c r="E56" s="94" t="str">
        <x:v>enabled</x:v>
      </x:c>
      <x:c r="F56" s="94" t="str">
        <x:v>H-CAB-01</x:v>
      </x:c>
      <x:c r="G56" s="94" t="n">
        <x:v>300</x:v>
      </x:c>
      <x:c r="H56" s="94" t="n">
        <x:v>9</x:v>
      </x:c>
      <x:c r="I56" s="94" t="n">
        <x:v>4</x:v>
      </x:c>
      <x:c r="J56" s="94" t="str">
        <x:v>talk-02</x:v>
      </x:c>
      <x:c r="K56" s="94" t="str">
        <x:v>talk</x:v>
      </x:c>
      <x:c r="L56" s="94" t="str">
        <x:v>talk-02</x:v>
      </x:c>
      <x:c r="M56" s="94" t="str">
        <x:v>campaign.radio.programProgress.H-CAB-01</x:v>
      </x:c>
      <x:c r="N56" s="94" t="str">
        <x:v>tools/verify-radio-program.mjs · ordered playback receipt</x:v>
      </x:c>
    </x:row>
    <x:row r="57" ht="46" customHeight="1">
      <x:c r="A57" s="95" t="str">
        <x:v>BLOCK</x:v>
      </x:c>
      <x:c r="B57" s="95" t="str">
        <x:v>cabin_lay_low</x:v>
      </x:c>
      <x:c r="C57" s="95" t="str">
        <x:v>talkFirst</x:v>
      </x:c>
      <x:c r="D57" s="95" t="str">
        <x:v>countryside_cabin</x:v>
      </x:c>
      <x:c r="E57" s="95" t="str">
        <x:v>enabled</x:v>
      </x:c>
      <x:c r="F57" s="95" t="str">
        <x:v>H-CAB-01</x:v>
      </x:c>
      <x:c r="G57" s="95" t="n">
        <x:v>300</x:v>
      </x:c>
      <x:c r="H57" s="95" t="n">
        <x:v>9</x:v>
      </x:c>
      <x:c r="I57" s="95" t="n">
        <x:v>5</x:v>
      </x:c>
      <x:c r="J57" s="95" t="str">
        <x:v>talk-03</x:v>
      </x:c>
      <x:c r="K57" s="95" t="str">
        <x:v>talk</x:v>
      </x:c>
      <x:c r="L57" s="95" t="str">
        <x:v>talk-03</x:v>
      </x:c>
      <x:c r="M57" s="95" t="str">
        <x:v>campaign.radio.programProgress.H-CAB-01</x:v>
      </x:c>
      <x:c r="N57" s="95" t="str">
        <x:v>tools/verify-radio-program.mjs · ordered playback receipt</x:v>
      </x:c>
    </x:row>
    <x:row r="58" ht="46" customHeight="1">
      <x:c r="A58" s="94" t="str">
        <x:v>BLOCK</x:v>
      </x:c>
      <x:c r="B58" s="94" t="str">
        <x:v>cabin_lay_low</x:v>
      </x:c>
      <x:c r="C58" s="94" t="str">
        <x:v>talkFirst</x:v>
      </x:c>
      <x:c r="D58" s="94" t="str">
        <x:v>countryside_cabin</x:v>
      </x:c>
      <x:c r="E58" s="94" t="str">
        <x:v>enabled</x:v>
      </x:c>
      <x:c r="F58" s="94" t="str">
        <x:v>H-CAB-01</x:v>
      </x:c>
      <x:c r="G58" s="94" t="n">
        <x:v>300</x:v>
      </x:c>
      <x:c r="H58" s="94" t="n">
        <x:v>9</x:v>
      </x:c>
      <x:c r="I58" s="94" t="n">
        <x:v>6</x:v>
      </x:c>
      <x:c r="J58" s="94" t="str">
        <x:v>talk-04</x:v>
      </x:c>
      <x:c r="K58" s="94" t="str">
        <x:v>talk</x:v>
      </x:c>
      <x:c r="L58" s="94" t="str">
        <x:v>talk-04</x:v>
      </x:c>
      <x:c r="M58" s="94" t="str">
        <x:v>campaign.radio.programProgress.H-CAB-01</x:v>
      </x:c>
      <x:c r="N58" s="94" t="str">
        <x:v>tools/verify-radio-program.mjs · ordered playback receipt</x:v>
      </x:c>
    </x:row>
    <x:row r="59" ht="46" customHeight="1">
      <x:c r="A59" s="95" t="str">
        <x:v>BLOCK</x:v>
      </x:c>
      <x:c r="B59" s="95" t="str">
        <x:v>cabin_lay_low</x:v>
      </x:c>
      <x:c r="C59" s="95" t="str">
        <x:v>talkFirst</x:v>
      </x:c>
      <x:c r="D59" s="95" t="str">
        <x:v>countryside_cabin</x:v>
      </x:c>
      <x:c r="E59" s="95" t="str">
        <x:v>enabled</x:v>
      </x:c>
      <x:c r="F59" s="95" t="str">
        <x:v>H-CAB-01</x:v>
      </x:c>
      <x:c r="G59" s="95" t="n">
        <x:v>300</x:v>
      </x:c>
      <x:c r="H59" s="95" t="n">
        <x:v>9</x:v>
      </x:c>
      <x:c r="I59" s="95" t="n">
        <x:v>7</x:v>
      </x:c>
      <x:c r="J59" s="95" t="str">
        <x:v>song-01</x:v>
      </x:c>
      <x:c r="K59" s="95" t="str">
        <x:v>song</x:v>
      </x:c>
      <x:c r="L59" s="95" t="str">
        <x:v>through-the-night</x:v>
      </x:c>
      <x:c r="M59" s="95" t="str">
        <x:v>campaign.radio.programProgress.H-CAB-01</x:v>
      </x:c>
      <x:c r="N59" s="95" t="str">
        <x:v>tools/verify-radio-program.mjs · ordered playback receipt</x:v>
      </x:c>
    </x:row>
    <x:row r="60" ht="46" customHeight="1">
      <x:c r="A60" s="94" t="str">
        <x:v>BLOCK</x:v>
      </x:c>
      <x:c r="B60" s="94" t="str">
        <x:v>cabin_lay_low</x:v>
      </x:c>
      <x:c r="C60" s="94" t="str">
        <x:v>talkFirst</x:v>
      </x:c>
      <x:c r="D60" s="94" t="str">
        <x:v>countryside_cabin</x:v>
      </x:c>
      <x:c r="E60" s="94" t="str">
        <x:v>enabled</x:v>
      </x:c>
      <x:c r="F60" s="94" t="str">
        <x:v>H-CAB-01</x:v>
      </x:c>
      <x:c r="G60" s="94" t="n">
        <x:v>300</x:v>
      </x:c>
      <x:c r="H60" s="94" t="n">
        <x:v>9</x:v>
      </x:c>
      <x:c r="I60" s="94" t="n">
        <x:v>8</x:v>
      </x:c>
      <x:c r="J60" s="94" t="str">
        <x:v>editorial</x:v>
      </x:c>
      <x:c r="K60" s="94" t="str">
        <x:v>link</x:v>
      </x:c>
      <x:c r="L60" s="94" t="str">
        <x:v>editorial</x:v>
      </x:c>
      <x:c r="M60" s="94" t="str">
        <x:v>campaign.radio.programProgress.H-CAB-01</x:v>
      </x:c>
      <x:c r="N60" s="94" t="str">
        <x:v>tools/verify-radio-program.mjs · ordered playback receipt</x:v>
      </x:c>
    </x:row>
    <x:row r="61" ht="46" customHeight="1">
      <x:c r="A61" s="95" t="str">
        <x:v>BLOCK</x:v>
      </x:c>
      <x:c r="B61" s="95" t="str">
        <x:v>cabin_lay_low</x:v>
      </x:c>
      <x:c r="C61" s="95" t="str">
        <x:v>talkFirst</x:v>
      </x:c>
      <x:c r="D61" s="95" t="str">
        <x:v>countryside_cabin</x:v>
      </x:c>
      <x:c r="E61" s="95" t="str">
        <x:v>enabled</x:v>
      </x:c>
      <x:c r="F61" s="95" t="str">
        <x:v>H-CAB-01</x:v>
      </x:c>
      <x:c r="G61" s="95" t="n">
        <x:v>300</x:v>
      </x:c>
      <x:c r="H61" s="95" t="n">
        <x:v>9</x:v>
      </x:c>
      <x:c r="I61" s="95" t="n">
        <x:v>9</x:v>
      </x:c>
      <x:c r="J61" s="95" t="str">
        <x:v>talk-05</x:v>
      </x:c>
      <x:c r="K61" s="95" t="str">
        <x:v>talk</x:v>
      </x:c>
      <x:c r="L61" s="95" t="str">
        <x:v>talk-05</x:v>
      </x:c>
      <x:c r="M61" s="95" t="str">
        <x:v>campaign.radio.programProgress.H-CAB-01</x:v>
      </x:c>
      <x:c r="N61" s="95" t="str">
        <x:v>tools/verify-radio-program.mjs · ordered playback receipt</x:v>
      </x:c>
    </x:row>
    <x:row r="62" ht="46" customHeight="1">
      <x:c r="A62" s="94" t="str">
        <x:v>BLOCK</x:v>
      </x:c>
      <x:c r="B62" s="94" t="str">
        <x:v>cabin_lay_low</x:v>
      </x:c>
      <x:c r="C62" s="94" t="str">
        <x:v>talkFirst</x:v>
      </x:c>
      <x:c r="D62" s="94" t="str">
        <x:v>countryside_cabin</x:v>
      </x:c>
      <x:c r="E62" s="94" t="str">
        <x:v>enabled</x:v>
      </x:c>
      <x:c r="F62" s="94" t="str">
        <x:v>H-CAB-01</x:v>
      </x:c>
      <x:c r="G62" s="94" t="n">
        <x:v>300</x:v>
      </x:c>
      <x:c r="H62" s="94" t="n">
        <x:v>9</x:v>
      </x:c>
      <x:c r="I62" s="94" t="n">
        <x:v>10</x:v>
      </x:c>
      <x:c r="J62" s="94" t="str">
        <x:v>talk-06</x:v>
      </x:c>
      <x:c r="K62" s="94" t="str">
        <x:v>talk</x:v>
      </x:c>
      <x:c r="L62" s="94" t="str">
        <x:v>talk-06</x:v>
      </x:c>
      <x:c r="M62" s="94" t="str">
        <x:v>campaign.radio.programProgress.H-CAB-01</x:v>
      </x:c>
      <x:c r="N62" s="94" t="str">
        <x:v>tools/verify-radio-program.mjs · ordered playback receipt</x:v>
      </x:c>
    </x:row>
    <x:row r="63" ht="46" customHeight="1">
      <x:c r="A63" s="95" t="str">
        <x:v>BLOCK</x:v>
      </x:c>
      <x:c r="B63" s="95" t="str">
        <x:v>cabin_lay_low</x:v>
      </x:c>
      <x:c r="C63" s="95" t="str">
        <x:v>talkFirst</x:v>
      </x:c>
      <x:c r="D63" s="95" t="str">
        <x:v>countryside_cabin</x:v>
      </x:c>
      <x:c r="E63" s="95" t="str">
        <x:v>enabled</x:v>
      </x:c>
      <x:c r="F63" s="95" t="str">
        <x:v>H-CAB-01</x:v>
      </x:c>
      <x:c r="G63" s="95" t="n">
        <x:v>300</x:v>
      </x:c>
      <x:c r="H63" s="95" t="n">
        <x:v>9</x:v>
      </x:c>
      <x:c r="I63" s="95" t="n">
        <x:v>11</x:v>
      </x:c>
      <x:c r="J63" s="95" t="str">
        <x:v>talk-07</x:v>
      </x:c>
      <x:c r="K63" s="95" t="str">
        <x:v>talk</x:v>
      </x:c>
      <x:c r="L63" s="95" t="str">
        <x:v>talk-07</x:v>
      </x:c>
      <x:c r="M63" s="95" t="str">
        <x:v>campaign.radio.programProgress.H-CAB-01</x:v>
      </x:c>
      <x:c r="N63" s="95" t="str">
        <x:v>tools/verify-radio-program.mjs · ordered playback receipt</x:v>
      </x:c>
    </x:row>
    <x:row r="64" ht="46" customHeight="1">
      <x:c r="A64" s="94" t="str">
        <x:v>BLOCK</x:v>
      </x:c>
      <x:c r="B64" s="94" t="str">
        <x:v>cabin_lay_low</x:v>
      </x:c>
      <x:c r="C64" s="94" t="str">
        <x:v>talkFirst</x:v>
      </x:c>
      <x:c r="D64" s="94" t="str">
        <x:v>countryside_cabin</x:v>
      </x:c>
      <x:c r="E64" s="94" t="str">
        <x:v>enabled</x:v>
      </x:c>
      <x:c r="F64" s="94" t="str">
        <x:v>H-CAB-01</x:v>
      </x:c>
      <x:c r="G64" s="94" t="n">
        <x:v>300</x:v>
      </x:c>
      <x:c r="H64" s="94" t="n">
        <x:v>9</x:v>
      </x:c>
      <x:c r="I64" s="94" t="n">
        <x:v>12</x:v>
      </x:c>
      <x:c r="J64" s="94" t="str">
        <x:v>talk-08</x:v>
      </x:c>
      <x:c r="K64" s="94" t="str">
        <x:v>talk</x:v>
      </x:c>
      <x:c r="L64" s="94" t="str">
        <x:v>talk-08</x:v>
      </x:c>
      <x:c r="M64" s="94" t="str">
        <x:v>campaign.radio.programProgress.H-CAB-01</x:v>
      </x:c>
      <x:c r="N64" s="94" t="str">
        <x:v>tools/verify-radio-program.mjs · ordered playback receipt</x:v>
      </x:c>
    </x:row>
    <x:row r="65" ht="46" customHeight="1">
      <x:c r="A65" s="95" t="str">
        <x:v>BLOCK</x:v>
      </x:c>
      <x:c r="B65" s="95" t="str">
        <x:v>cabin_lay_low</x:v>
      </x:c>
      <x:c r="C65" s="95" t="str">
        <x:v>talkFirst</x:v>
      </x:c>
      <x:c r="D65" s="95" t="str">
        <x:v>countryside_cabin</x:v>
      </x:c>
      <x:c r="E65" s="95" t="str">
        <x:v>enabled</x:v>
      </x:c>
      <x:c r="F65" s="95" t="str">
        <x:v>H-CAB-01</x:v>
      </x:c>
      <x:c r="G65" s="95" t="n">
        <x:v>300</x:v>
      </x:c>
      <x:c r="H65" s="95" t="n">
        <x:v>9</x:v>
      </x:c>
      <x:c r="I65" s="95" t="n">
        <x:v>13</x:v>
      </x:c>
      <x:c r="J65" s="95" t="str">
        <x:v>song-02</x:v>
      </x:c>
      <x:c r="K65" s="95" t="str">
        <x:v>song</x:v>
      </x:c>
      <x:c r="L65" s="95" t="str">
        <x:v>i-aint-gay</x:v>
      </x:c>
      <x:c r="M65" s="95" t="str">
        <x:v>campaign.radio.programProgress.H-CAB-01</x:v>
      </x:c>
      <x:c r="N65" s="95" t="str">
        <x:v>tools/verify-radio-program.mjs · ordered playback receipt</x:v>
      </x:c>
    </x:row>
    <x:row r="66" ht="46" customHeight="1">
      <x:c r="A66" s="94" t="str">
        <x:v>BLOCK</x:v>
      </x:c>
      <x:c r="B66" s="94" t="str">
        <x:v>cabin_lay_low</x:v>
      </x:c>
      <x:c r="C66" s="94" t="str">
        <x:v>talkFirst</x:v>
      </x:c>
      <x:c r="D66" s="94" t="str">
        <x:v>countryside_cabin</x:v>
      </x:c>
      <x:c r="E66" s="94" t="str">
        <x:v>enabled</x:v>
      </x:c>
      <x:c r="F66" s="94" t="str">
        <x:v>H-CAB-01</x:v>
      </x:c>
      <x:c r="G66" s="94" t="n">
        <x:v>300</x:v>
      </x:c>
      <x:c r="H66" s="94" t="n">
        <x:v>9</x:v>
      </x:c>
      <x:c r="I66" s="94" t="n">
        <x:v>14</x:v>
      </x:c>
      <x:c r="J66" s="94" t="str">
        <x:v>ad</x:v>
      </x:c>
      <x:c r="K66" s="94" t="str">
        <x:v>ad</x:v>
      </x:c>
      <x:c r="L66" s="94" t="str">
        <x:v>station.evening</x:v>
      </x:c>
      <x:c r="M66" s="94" t="str">
        <x:v>campaign.radio.programProgress.H-CAB-01</x:v>
      </x:c>
      <x:c r="N66" s="94" t="str">
        <x:v>tools/verify-radio-program.mjs · ordered playback receipt</x:v>
      </x:c>
    </x:row>
    <x:row r="67" ht="46" customHeight="1">
      <x:c r="A67" s="95" t="str">
        <x:v>BLOCK</x:v>
      </x:c>
      <x:c r="B67" s="95" t="str">
        <x:v>cabin_lay_low</x:v>
      </x:c>
      <x:c r="C67" s="95" t="str">
        <x:v>talkFirst</x:v>
      </x:c>
      <x:c r="D67" s="95" t="str">
        <x:v>countryside_cabin</x:v>
      </x:c>
      <x:c r="E67" s="95" t="str">
        <x:v>enabled</x:v>
      </x:c>
      <x:c r="F67" s="95" t="str">
        <x:v>H-CAB-01</x:v>
      </x:c>
      <x:c r="G67" s="95" t="n">
        <x:v>300</x:v>
      </x:c>
      <x:c r="H67" s="95" t="n">
        <x:v>9</x:v>
      </x:c>
      <x:c r="I67" s="95" t="n">
        <x:v>15</x:v>
      </x:c>
      <x:c r="J67" s="95" t="str">
        <x:v>handoff</x:v>
      </x:c>
      <x:c r="K67" s="95" t="str">
        <x:v>handoff</x:v>
      </x:c>
      <x:c r="L67" s="95" t="str">
        <x:v>handoff</x:v>
      </x:c>
      <x:c r="M67" s="95" t="str">
        <x:v>campaign.radio.programProgress.H-CAB-01</x:v>
      </x:c>
      <x:c r="N67" s="95" t="str">
        <x:v>tools/verify-radio-program.mjs · ordered playback receipt</x:v>
      </x:c>
    </x:row>
    <x:row r="68" ht="46" customHeight="1">
      <x:c r="A68" s="94" t="str">
        <x:v>PROGRAM</x:v>
      </x:c>
      <x:c r="B68" s="94" t="str">
        <x:v>booski_sasole_call</x:v>
      </x:c>
      <x:c r="C68" s="94" t="str">
        <x:v>talkFirst</x:v>
      </x:c>
      <x:c r="D68" s="94" t="str">
        <x:v>countryside_cabin</x:v>
      </x:c>
      <x:c r="E68" s="94" t="str">
        <x:v>enabled</x:v>
      </x:c>
      <x:c r="F68" s="94" t="str">
        <x:v>H-CAB-02</x:v>
      </x:c>
      <x:c r="G68" s="94" t="n">
        <x:v>300</x:v>
      </x:c>
      <x:c r="H68" s="94" t="n">
        <x:v>12</x:v>
      </x:c>
      <x:c r="I68" s="94" t="str"/>
      <x:c r="J68" s="94" t="str"/>
      <x:c r="K68" s="94" t="str"/>
      <x:c r="L68" s="94" t="str"/>
      <x:c r="M68" s="94" t="str">
        <x:v>campaign.radio.programProgress.H-CAB-02</x:v>
      </x:c>
      <x:c r="N68" s="94" t="str">
        <x:v>src/core/radio-program.js · RADIO_PROGRAMS</x:v>
      </x:c>
    </x:row>
    <x:row r="69" ht="46" customHeight="1">
      <x:c r="A69" s="95" t="str">
        <x:v>BLOCK</x:v>
      </x:c>
      <x:c r="B69" s="95" t="str">
        <x:v>booski_sasole_call</x:v>
      </x:c>
      <x:c r="C69" s="95" t="str">
        <x:v>talkFirst</x:v>
      </x:c>
      <x:c r="D69" s="95" t="str">
        <x:v>countryside_cabin</x:v>
      </x:c>
      <x:c r="E69" s="95" t="str">
        <x:v>enabled</x:v>
      </x:c>
      <x:c r="F69" s="95" t="str">
        <x:v>H-CAB-02</x:v>
      </x:c>
      <x:c r="G69" s="95" t="n">
        <x:v>300</x:v>
      </x:c>
      <x:c r="H69" s="95" t="n">
        <x:v>12</x:v>
      </x:c>
      <x:c r="I69" s="95" t="n">
        <x:v>1</x:v>
      </x:c>
      <x:c r="J69" s="95" t="str">
        <x:v>ident</x:v>
      </x:c>
      <x:c r="K69" s="95" t="str">
        <x:v>ident</x:v>
      </x:c>
      <x:c r="L69" s="95" t="str">
        <x:v>ident</x:v>
      </x:c>
      <x:c r="M69" s="95" t="str">
        <x:v>campaign.radio.programProgress.H-CAB-02</x:v>
      </x:c>
      <x:c r="N69" s="95" t="str">
        <x:v>tools/verify-radio-program.mjs · ordered playback receipt</x:v>
      </x:c>
    </x:row>
    <x:row r="70" ht="46" customHeight="1">
      <x:c r="A70" s="94" t="str">
        <x:v>BLOCK</x:v>
      </x:c>
      <x:c r="B70" s="94" t="str">
        <x:v>booski_sasole_call</x:v>
      </x:c>
      <x:c r="C70" s="94" t="str">
        <x:v>talkFirst</x:v>
      </x:c>
      <x:c r="D70" s="94" t="str">
        <x:v>countryside_cabin</x:v>
      </x:c>
      <x:c r="E70" s="94" t="str">
        <x:v>enabled</x:v>
      </x:c>
      <x:c r="F70" s="94" t="str">
        <x:v>H-CAB-02</x:v>
      </x:c>
      <x:c r="G70" s="94" t="n">
        <x:v>300</x:v>
      </x:c>
      <x:c r="H70" s="94" t="n">
        <x:v>12</x:v>
      </x:c>
      <x:c r="I70" s="94" t="n">
        <x:v>2</x:v>
      </x:c>
      <x:c r="J70" s="94" t="str">
        <x:v>show-intro</x:v>
      </x:c>
      <x:c r="K70" s="94" t="str">
        <x:v>showIntro</x:v>
      </x:c>
      <x:c r="L70" s="94" t="str">
        <x:v>show-intro</x:v>
      </x:c>
      <x:c r="M70" s="94" t="str">
        <x:v>campaign.radio.programProgress.H-CAB-02</x:v>
      </x:c>
      <x:c r="N70" s="94" t="str">
        <x:v>tools/verify-radio-program.mjs · ordered playback receipt</x:v>
      </x:c>
    </x:row>
    <x:row r="71" ht="46" customHeight="1">
      <x:c r="A71" s="95" t="str">
        <x:v>BLOCK</x:v>
      </x:c>
      <x:c r="B71" s="95" t="str">
        <x:v>booski_sasole_call</x:v>
      </x:c>
      <x:c r="C71" s="95" t="str">
        <x:v>talkFirst</x:v>
      </x:c>
      <x:c r="D71" s="95" t="str">
        <x:v>countryside_cabin</x:v>
      </x:c>
      <x:c r="E71" s="95" t="str">
        <x:v>enabled</x:v>
      </x:c>
      <x:c r="F71" s="95" t="str">
        <x:v>H-CAB-02</x:v>
      </x:c>
      <x:c r="G71" s="95" t="n">
        <x:v>300</x:v>
      </x:c>
      <x:c r="H71" s="95" t="n">
        <x:v>12</x:v>
      </x:c>
      <x:c r="I71" s="95" t="n">
        <x:v>3</x:v>
      </x:c>
      <x:c r="J71" s="95" t="str">
        <x:v>talk-01</x:v>
      </x:c>
      <x:c r="K71" s="95" t="str">
        <x:v>talk</x:v>
      </x:c>
      <x:c r="L71" s="95" t="str">
        <x:v>talk-01</x:v>
      </x:c>
      <x:c r="M71" s="95" t="str">
        <x:v>campaign.radio.programProgress.H-CAB-02</x:v>
      </x:c>
      <x:c r="N71" s="95" t="str">
        <x:v>tools/verify-radio-program.mjs · ordered playback receipt</x:v>
      </x:c>
    </x:row>
    <x:row r="72" ht="46" customHeight="1">
      <x:c r="A72" s="94" t="str">
        <x:v>BLOCK</x:v>
      </x:c>
      <x:c r="B72" s="94" t="str">
        <x:v>booski_sasole_call</x:v>
      </x:c>
      <x:c r="C72" s="94" t="str">
        <x:v>talkFirst</x:v>
      </x:c>
      <x:c r="D72" s="94" t="str">
        <x:v>countryside_cabin</x:v>
      </x:c>
      <x:c r="E72" s="94" t="str">
        <x:v>enabled</x:v>
      </x:c>
      <x:c r="F72" s="94" t="str">
        <x:v>H-CAB-02</x:v>
      </x:c>
      <x:c r="G72" s="94" t="n">
        <x:v>300</x:v>
      </x:c>
      <x:c r="H72" s="94" t="n">
        <x:v>12</x:v>
      </x:c>
      <x:c r="I72" s="94" t="n">
        <x:v>4</x:v>
      </x:c>
      <x:c r="J72" s="94" t="str">
        <x:v>talk-02</x:v>
      </x:c>
      <x:c r="K72" s="94" t="str">
        <x:v>talk</x:v>
      </x:c>
      <x:c r="L72" s="94" t="str">
        <x:v>talk-02</x:v>
      </x:c>
      <x:c r="M72" s="94" t="str">
        <x:v>campaign.radio.programProgress.H-CAB-02</x:v>
      </x:c>
      <x:c r="N72" s="94" t="str">
        <x:v>tools/verify-radio-program.mjs · ordered playback receipt</x:v>
      </x:c>
    </x:row>
    <x:row r="73" ht="46" customHeight="1">
      <x:c r="A73" s="95" t="str">
        <x:v>BLOCK</x:v>
      </x:c>
      <x:c r="B73" s="95" t="str">
        <x:v>booski_sasole_call</x:v>
      </x:c>
      <x:c r="C73" s="95" t="str">
        <x:v>talkFirst</x:v>
      </x:c>
      <x:c r="D73" s="95" t="str">
        <x:v>countryside_cabin</x:v>
      </x:c>
      <x:c r="E73" s="95" t="str">
        <x:v>enabled</x:v>
      </x:c>
      <x:c r="F73" s="95" t="str">
        <x:v>H-CAB-02</x:v>
      </x:c>
      <x:c r="G73" s="95" t="n">
        <x:v>300</x:v>
      </x:c>
      <x:c r="H73" s="95" t="n">
        <x:v>12</x:v>
      </x:c>
      <x:c r="I73" s="95" t="n">
        <x:v>5</x:v>
      </x:c>
      <x:c r="J73" s="95" t="str">
        <x:v>talk-03</x:v>
      </x:c>
      <x:c r="K73" s="95" t="str">
        <x:v>talk</x:v>
      </x:c>
      <x:c r="L73" s="95" t="str">
        <x:v>talk-03</x:v>
      </x:c>
      <x:c r="M73" s="95" t="str">
        <x:v>campaign.radio.programProgress.H-CAB-02</x:v>
      </x:c>
      <x:c r="N73" s="95" t="str">
        <x:v>tools/verify-radio-program.mjs · ordered playback receipt</x:v>
      </x:c>
    </x:row>
    <x:row r="74" ht="46" customHeight="1">
      <x:c r="A74" s="94" t="str">
        <x:v>BLOCK</x:v>
      </x:c>
      <x:c r="B74" s="94" t="str">
        <x:v>booski_sasole_call</x:v>
      </x:c>
      <x:c r="C74" s="94" t="str">
        <x:v>talkFirst</x:v>
      </x:c>
      <x:c r="D74" s="94" t="str">
        <x:v>countryside_cabin</x:v>
      </x:c>
      <x:c r="E74" s="94" t="str">
        <x:v>enabled</x:v>
      </x:c>
      <x:c r="F74" s="94" t="str">
        <x:v>H-CAB-02</x:v>
      </x:c>
      <x:c r="G74" s="94" t="n">
        <x:v>300</x:v>
      </x:c>
      <x:c r="H74" s="94" t="n">
        <x:v>12</x:v>
      </x:c>
      <x:c r="I74" s="94" t="n">
        <x:v>6</x:v>
      </x:c>
      <x:c r="J74" s="94" t="str">
        <x:v>talk-04</x:v>
      </x:c>
      <x:c r="K74" s="94" t="str">
        <x:v>talk</x:v>
      </x:c>
      <x:c r="L74" s="94" t="str">
        <x:v>talk-04</x:v>
      </x:c>
      <x:c r="M74" s="94" t="str">
        <x:v>campaign.radio.programProgress.H-CAB-02</x:v>
      </x:c>
      <x:c r="N74" s="94" t="str">
        <x:v>tools/verify-radio-program.mjs · ordered playback receipt</x:v>
      </x:c>
    </x:row>
    <x:row r="75" ht="46" customHeight="1">
      <x:c r="A75" s="95" t="str">
        <x:v>BLOCK</x:v>
      </x:c>
      <x:c r="B75" s="95" t="str">
        <x:v>booski_sasole_call</x:v>
      </x:c>
      <x:c r="C75" s="95" t="str">
        <x:v>talkFirst</x:v>
      </x:c>
      <x:c r="D75" s="95" t="str">
        <x:v>countryside_cabin</x:v>
      </x:c>
      <x:c r="E75" s="95" t="str">
        <x:v>enabled</x:v>
      </x:c>
      <x:c r="F75" s="95" t="str">
        <x:v>H-CAB-02</x:v>
      </x:c>
      <x:c r="G75" s="95" t="n">
        <x:v>300</x:v>
      </x:c>
      <x:c r="H75" s="95" t="n">
        <x:v>12</x:v>
      </x:c>
      <x:c r="I75" s="95" t="n">
        <x:v>7</x:v>
      </x:c>
      <x:c r="J75" s="95" t="str">
        <x:v>song-01</x:v>
      </x:c>
      <x:c r="K75" s="95" t="str">
        <x:v>song</x:v>
      </x:c>
      <x:c r="L75" s="95" t="str">
        <x:v>good-ole-days</x:v>
      </x:c>
      <x:c r="M75" s="95" t="str">
        <x:v>campaign.radio.programProgress.H-CAB-02</x:v>
      </x:c>
      <x:c r="N75" s="95" t="str">
        <x:v>tools/verify-radio-program.mjs · ordered playback receipt</x:v>
      </x:c>
    </x:row>
    <x:row r="76" ht="46" customHeight="1">
      <x:c r="A76" s="94" t="str">
        <x:v>BLOCK</x:v>
      </x:c>
      <x:c r="B76" s="94" t="str">
        <x:v>booski_sasole_call</x:v>
      </x:c>
      <x:c r="C76" s="94" t="str">
        <x:v>talkFirst</x:v>
      </x:c>
      <x:c r="D76" s="94" t="str">
        <x:v>countryside_cabin</x:v>
      </x:c>
      <x:c r="E76" s="94" t="str">
        <x:v>enabled</x:v>
      </x:c>
      <x:c r="F76" s="94" t="str">
        <x:v>H-CAB-02</x:v>
      </x:c>
      <x:c r="G76" s="94" t="n">
        <x:v>300</x:v>
      </x:c>
      <x:c r="H76" s="94" t="n">
        <x:v>12</x:v>
      </x:c>
      <x:c r="I76" s="94" t="n">
        <x:v>8</x:v>
      </x:c>
      <x:c r="J76" s="94" t="str">
        <x:v>editorial</x:v>
      </x:c>
      <x:c r="K76" s="94" t="str">
        <x:v>link</x:v>
      </x:c>
      <x:c r="L76" s="94" t="str">
        <x:v>editorial</x:v>
      </x:c>
      <x:c r="M76" s="94" t="str">
        <x:v>campaign.radio.programProgress.H-CAB-02</x:v>
      </x:c>
      <x:c r="N76" s="94" t="str">
        <x:v>tools/verify-radio-program.mjs · ordered playback receipt</x:v>
      </x:c>
    </x:row>
    <x:row r="77" ht="46" customHeight="1">
      <x:c r="A77" s="95" t="str">
        <x:v>BLOCK</x:v>
      </x:c>
      <x:c r="B77" s="95" t="str">
        <x:v>booski_sasole_call</x:v>
      </x:c>
      <x:c r="C77" s="95" t="str">
        <x:v>talkFirst</x:v>
      </x:c>
      <x:c r="D77" s="95" t="str">
        <x:v>countryside_cabin</x:v>
      </x:c>
      <x:c r="E77" s="95" t="str">
        <x:v>enabled</x:v>
      </x:c>
      <x:c r="F77" s="95" t="str">
        <x:v>H-CAB-02</x:v>
      </x:c>
      <x:c r="G77" s="95" t="n">
        <x:v>300</x:v>
      </x:c>
      <x:c r="H77" s="95" t="n">
        <x:v>12</x:v>
      </x:c>
      <x:c r="I77" s="95" t="n">
        <x:v>9</x:v>
      </x:c>
      <x:c r="J77" s="95" t="str">
        <x:v>talk-05</x:v>
      </x:c>
      <x:c r="K77" s="95" t="str">
        <x:v>talk</x:v>
      </x:c>
      <x:c r="L77" s="95" t="str">
        <x:v>talk-05</x:v>
      </x:c>
      <x:c r="M77" s="95" t="str">
        <x:v>campaign.radio.programProgress.H-CAB-02</x:v>
      </x:c>
      <x:c r="N77" s="95" t="str">
        <x:v>tools/verify-radio-program.mjs · ordered playback receipt</x:v>
      </x:c>
    </x:row>
    <x:row r="78" ht="46" customHeight="1">
      <x:c r="A78" s="94" t="str">
        <x:v>BLOCK</x:v>
      </x:c>
      <x:c r="B78" s="94" t="str">
        <x:v>booski_sasole_call</x:v>
      </x:c>
      <x:c r="C78" s="94" t="str">
        <x:v>talkFirst</x:v>
      </x:c>
      <x:c r="D78" s="94" t="str">
        <x:v>countryside_cabin</x:v>
      </x:c>
      <x:c r="E78" s="94" t="str">
        <x:v>enabled</x:v>
      </x:c>
      <x:c r="F78" s="94" t="str">
        <x:v>H-CAB-02</x:v>
      </x:c>
      <x:c r="G78" s="94" t="n">
        <x:v>300</x:v>
      </x:c>
      <x:c r="H78" s="94" t="n">
        <x:v>12</x:v>
      </x:c>
      <x:c r="I78" s="94" t="n">
        <x:v>10</x:v>
      </x:c>
      <x:c r="J78" s="94" t="str">
        <x:v>talk-06</x:v>
      </x:c>
      <x:c r="K78" s="94" t="str">
        <x:v>talk</x:v>
      </x:c>
      <x:c r="L78" s="94" t="str">
        <x:v>talk-06</x:v>
      </x:c>
      <x:c r="M78" s="94" t="str">
        <x:v>campaign.radio.programProgress.H-CAB-02</x:v>
      </x:c>
      <x:c r="N78" s="94" t="str">
        <x:v>tools/verify-radio-program.mjs · ordered playback receipt</x:v>
      </x:c>
    </x:row>
    <x:row r="79" ht="46" customHeight="1">
      <x:c r="A79" s="95" t="str">
        <x:v>BLOCK</x:v>
      </x:c>
      <x:c r="B79" s="95" t="str">
        <x:v>booski_sasole_call</x:v>
      </x:c>
      <x:c r="C79" s="95" t="str">
        <x:v>talkFirst</x:v>
      </x:c>
      <x:c r="D79" s="95" t="str">
        <x:v>countryside_cabin</x:v>
      </x:c>
      <x:c r="E79" s="95" t="str">
        <x:v>enabled</x:v>
      </x:c>
      <x:c r="F79" s="95" t="str">
        <x:v>H-CAB-02</x:v>
      </x:c>
      <x:c r="G79" s="95" t="n">
        <x:v>300</x:v>
      </x:c>
      <x:c r="H79" s="95" t="n">
        <x:v>12</x:v>
      </x:c>
      <x:c r="I79" s="95" t="n">
        <x:v>11</x:v>
      </x:c>
      <x:c r="J79" s="95" t="str">
        <x:v>talk-07</x:v>
      </x:c>
      <x:c r="K79" s="95" t="str">
        <x:v>talk</x:v>
      </x:c>
      <x:c r="L79" s="95" t="str">
        <x:v>talk-07</x:v>
      </x:c>
      <x:c r="M79" s="95" t="str">
        <x:v>campaign.radio.programProgress.H-CAB-02</x:v>
      </x:c>
      <x:c r="N79" s="95" t="str">
        <x:v>tools/verify-radio-program.mjs · ordered playback receipt</x:v>
      </x:c>
    </x:row>
    <x:row r="80" ht="46" customHeight="1">
      <x:c r="A80" s="94" t="str">
        <x:v>BLOCK</x:v>
      </x:c>
      <x:c r="B80" s="94" t="str">
        <x:v>booski_sasole_call</x:v>
      </x:c>
      <x:c r="C80" s="94" t="str">
        <x:v>talkFirst</x:v>
      </x:c>
      <x:c r="D80" s="94" t="str">
        <x:v>countryside_cabin</x:v>
      </x:c>
      <x:c r="E80" s="94" t="str">
        <x:v>enabled</x:v>
      </x:c>
      <x:c r="F80" s="94" t="str">
        <x:v>H-CAB-02</x:v>
      </x:c>
      <x:c r="G80" s="94" t="n">
        <x:v>300</x:v>
      </x:c>
      <x:c r="H80" s="94" t="n">
        <x:v>12</x:v>
      </x:c>
      <x:c r="I80" s="94" t="n">
        <x:v>12</x:v>
      </x:c>
      <x:c r="J80" s="94" t="str">
        <x:v>talk-08</x:v>
      </x:c>
      <x:c r="K80" s="94" t="str">
        <x:v>talk</x:v>
      </x:c>
      <x:c r="L80" s="94" t="str">
        <x:v>talk-08</x:v>
      </x:c>
      <x:c r="M80" s="94" t="str">
        <x:v>campaign.radio.programProgress.H-CAB-02</x:v>
      </x:c>
      <x:c r="N80" s="94" t="str">
        <x:v>tools/verify-radio-program.mjs · ordered playback receipt</x:v>
      </x:c>
    </x:row>
    <x:row r="81" ht="46" customHeight="1">
      <x:c r="A81" s="95" t="str">
        <x:v>BLOCK</x:v>
      </x:c>
      <x:c r="B81" s="95" t="str">
        <x:v>booski_sasole_call</x:v>
      </x:c>
      <x:c r="C81" s="95" t="str">
        <x:v>talkFirst</x:v>
      </x:c>
      <x:c r="D81" s="95" t="str">
        <x:v>countryside_cabin</x:v>
      </x:c>
      <x:c r="E81" s="95" t="str">
        <x:v>enabled</x:v>
      </x:c>
      <x:c r="F81" s="95" t="str">
        <x:v>H-CAB-02</x:v>
      </x:c>
      <x:c r="G81" s="95" t="n">
        <x:v>300</x:v>
      </x:c>
      <x:c r="H81" s="95" t="n">
        <x:v>12</x:v>
      </x:c>
      <x:c r="I81" s="95" t="n">
        <x:v>13</x:v>
      </x:c>
      <x:c r="J81" s="95" t="str">
        <x:v>song-02</x:v>
      </x:c>
      <x:c r="K81" s="95" t="str">
        <x:v>song</x:v>
      </x:c>
      <x:c r="L81" s="95" t="str">
        <x:v>10-drunk-cigarettes</x:v>
      </x:c>
      <x:c r="M81" s="95" t="str">
        <x:v>campaign.radio.programProgress.H-CAB-02</x:v>
      </x:c>
      <x:c r="N81" s="95" t="str">
        <x:v>tools/verify-radio-program.mjs · ordered playback receipt</x:v>
      </x:c>
    </x:row>
    <x:row r="82" ht="46" customHeight="1">
      <x:c r="A82" s="94" t="str">
        <x:v>BLOCK</x:v>
      </x:c>
      <x:c r="B82" s="94" t="str">
        <x:v>booski_sasole_call</x:v>
      </x:c>
      <x:c r="C82" s="94" t="str">
        <x:v>talkFirst</x:v>
      </x:c>
      <x:c r="D82" s="94" t="str">
        <x:v>countryside_cabin</x:v>
      </x:c>
      <x:c r="E82" s="94" t="str">
        <x:v>enabled</x:v>
      </x:c>
      <x:c r="F82" s="94" t="str">
        <x:v>H-CAB-02</x:v>
      </x:c>
      <x:c r="G82" s="94" t="n">
        <x:v>300</x:v>
      </x:c>
      <x:c r="H82" s="94" t="n">
        <x:v>12</x:v>
      </x:c>
      <x:c r="I82" s="94" t="n">
        <x:v>14</x:v>
      </x:c>
      <x:c r="J82" s="94" t="str">
        <x:v>ad</x:v>
      </x:c>
      <x:c r="K82" s="94" t="str">
        <x:v>ad</x:v>
      </x:c>
      <x:c r="L82" s="94" t="str">
        <x:v>jerky</x:v>
      </x:c>
      <x:c r="M82" s="94" t="str">
        <x:v>campaign.radio.programProgress.H-CAB-02</x:v>
      </x:c>
      <x:c r="N82" s="94" t="str">
        <x:v>tools/verify-radio-program.mjs · ordered playback receipt</x:v>
      </x:c>
    </x:row>
    <x:row r="83" ht="46" customHeight="1">
      <x:c r="A83" s="95" t="str">
        <x:v>BLOCK</x:v>
      </x:c>
      <x:c r="B83" s="95" t="str">
        <x:v>booski_sasole_call</x:v>
      </x:c>
      <x:c r="C83" s="95" t="str">
        <x:v>talkFirst</x:v>
      </x:c>
      <x:c r="D83" s="95" t="str">
        <x:v>countryside_cabin</x:v>
      </x:c>
      <x:c r="E83" s="95" t="str">
        <x:v>enabled</x:v>
      </x:c>
      <x:c r="F83" s="95" t="str">
        <x:v>H-CAB-02</x:v>
      </x:c>
      <x:c r="G83" s="95" t="n">
        <x:v>300</x:v>
      </x:c>
      <x:c r="H83" s="95" t="n">
        <x:v>12</x:v>
      </x:c>
      <x:c r="I83" s="95" t="n">
        <x:v>15</x:v>
      </x:c>
      <x:c r="J83" s="95" t="str">
        <x:v>handoff</x:v>
      </x:c>
      <x:c r="K83" s="95" t="str">
        <x:v>handoff</x:v>
      </x:c>
      <x:c r="L83" s="95" t="str">
        <x:v>handoff</x:v>
      </x:c>
      <x:c r="M83" s="95" t="str">
        <x:v>campaign.radio.programProgress.H-CAB-02</x:v>
      </x:c>
      <x:c r="N83" s="95" t="str">
        <x:v>tools/verify-radio-program.mjs · ordered playback receipt</x:v>
      </x:c>
    </x:row>
    <x:row r="84" ht="46" customHeight="1">
      <x:c r="A84" s="94" t="str">
        <x:v>PROGRAM</x:v>
      </x:c>
      <x:c r="B84" s="94" t="str">
        <x:v>cabin_two</x:v>
      </x:c>
      <x:c r="C84" s="94" t="str">
        <x:v>talkFirst</x:v>
      </x:c>
      <x:c r="D84" s="94" t="str">
        <x:v>countryside_cabin</x:v>
      </x:c>
      <x:c r="E84" s="94" t="str">
        <x:v>enabled</x:v>
      </x:c>
      <x:c r="F84" s="94" t="str">
        <x:v>H-CAB-03</x:v>
      </x:c>
      <x:c r="G84" s="94" t="n">
        <x:v>300</x:v>
      </x:c>
      <x:c r="H84" s="94" t="n">
        <x:v>8</x:v>
      </x:c>
      <x:c r="I84" s="94" t="str"/>
      <x:c r="J84" s="94" t="str"/>
      <x:c r="K84" s="94" t="str"/>
      <x:c r="L84" s="94" t="str"/>
      <x:c r="M84" s="94" t="str">
        <x:v>campaign.radio.programProgress.H-CAB-03</x:v>
      </x:c>
      <x:c r="N84" s="94" t="str">
        <x:v>src/core/radio-program.js · RADIO_PROGRAMS</x:v>
      </x:c>
    </x:row>
    <x:row r="85" ht="46" customHeight="1">
      <x:c r="A85" s="95" t="str">
        <x:v>BLOCK</x:v>
      </x:c>
      <x:c r="B85" s="95" t="str">
        <x:v>cabin_two</x:v>
      </x:c>
      <x:c r="C85" s="95" t="str">
        <x:v>talkFirst</x:v>
      </x:c>
      <x:c r="D85" s="95" t="str">
        <x:v>countryside_cabin</x:v>
      </x:c>
      <x:c r="E85" s="95" t="str">
        <x:v>enabled</x:v>
      </x:c>
      <x:c r="F85" s="95" t="str">
        <x:v>H-CAB-03</x:v>
      </x:c>
      <x:c r="G85" s="95" t="n">
        <x:v>300</x:v>
      </x:c>
      <x:c r="H85" s="95" t="n">
        <x:v>8</x:v>
      </x:c>
      <x:c r="I85" s="95" t="n">
        <x:v>1</x:v>
      </x:c>
      <x:c r="J85" s="95" t="str">
        <x:v>ident</x:v>
      </x:c>
      <x:c r="K85" s="95" t="str">
        <x:v>ident</x:v>
      </x:c>
      <x:c r="L85" s="95" t="str">
        <x:v>ident</x:v>
      </x:c>
      <x:c r="M85" s="95" t="str">
        <x:v>campaign.radio.programProgress.H-CAB-03</x:v>
      </x:c>
      <x:c r="N85" s="95" t="str">
        <x:v>tools/verify-radio-program.mjs · ordered playback receipt</x:v>
      </x:c>
    </x:row>
    <x:row r="86" ht="46" customHeight="1">
      <x:c r="A86" s="94" t="str">
        <x:v>BLOCK</x:v>
      </x:c>
      <x:c r="B86" s="94" t="str">
        <x:v>cabin_two</x:v>
      </x:c>
      <x:c r="C86" s="94" t="str">
        <x:v>talkFirst</x:v>
      </x:c>
      <x:c r="D86" s="94" t="str">
        <x:v>countryside_cabin</x:v>
      </x:c>
      <x:c r="E86" s="94" t="str">
        <x:v>enabled</x:v>
      </x:c>
      <x:c r="F86" s="94" t="str">
        <x:v>H-CAB-03</x:v>
      </x:c>
      <x:c r="G86" s="94" t="n">
        <x:v>300</x:v>
      </x:c>
      <x:c r="H86" s="94" t="n">
        <x:v>8</x:v>
      </x:c>
      <x:c r="I86" s="94" t="n">
        <x:v>2</x:v>
      </x:c>
      <x:c r="J86" s="94" t="str">
        <x:v>show-intro</x:v>
      </x:c>
      <x:c r="K86" s="94" t="str">
        <x:v>showIntro</x:v>
      </x:c>
      <x:c r="L86" s="94" t="str">
        <x:v>show-intro</x:v>
      </x:c>
      <x:c r="M86" s="94" t="str">
        <x:v>campaign.radio.programProgress.H-CAB-03</x:v>
      </x:c>
      <x:c r="N86" s="94" t="str">
        <x:v>tools/verify-radio-program.mjs · ordered playback receipt</x:v>
      </x:c>
    </x:row>
    <x:row r="87" ht="46" customHeight="1">
      <x:c r="A87" s="95" t="str">
        <x:v>BLOCK</x:v>
      </x:c>
      <x:c r="B87" s="95" t="str">
        <x:v>cabin_two</x:v>
      </x:c>
      <x:c r="C87" s="95" t="str">
        <x:v>talkFirst</x:v>
      </x:c>
      <x:c r="D87" s="95" t="str">
        <x:v>countryside_cabin</x:v>
      </x:c>
      <x:c r="E87" s="95" t="str">
        <x:v>enabled</x:v>
      </x:c>
      <x:c r="F87" s="95" t="str">
        <x:v>H-CAB-03</x:v>
      </x:c>
      <x:c r="G87" s="95" t="n">
        <x:v>300</x:v>
      </x:c>
      <x:c r="H87" s="95" t="n">
        <x:v>8</x:v>
      </x:c>
      <x:c r="I87" s="95" t="n">
        <x:v>3</x:v>
      </x:c>
      <x:c r="J87" s="95" t="str">
        <x:v>talk-01</x:v>
      </x:c>
      <x:c r="K87" s="95" t="str">
        <x:v>talk</x:v>
      </x:c>
      <x:c r="L87" s="95" t="str">
        <x:v>talk-01</x:v>
      </x:c>
      <x:c r="M87" s="95" t="str">
        <x:v>campaign.radio.programProgress.H-CAB-03</x:v>
      </x:c>
      <x:c r="N87" s="95" t="str">
        <x:v>tools/verify-radio-program.mjs · ordered playback receipt</x:v>
      </x:c>
    </x:row>
    <x:row r="88" ht="46" customHeight="1">
      <x:c r="A88" s="94" t="str">
        <x:v>BLOCK</x:v>
      </x:c>
      <x:c r="B88" s="94" t="str">
        <x:v>cabin_two</x:v>
      </x:c>
      <x:c r="C88" s="94" t="str">
        <x:v>talkFirst</x:v>
      </x:c>
      <x:c r="D88" s="94" t="str">
        <x:v>countryside_cabin</x:v>
      </x:c>
      <x:c r="E88" s="94" t="str">
        <x:v>enabled</x:v>
      </x:c>
      <x:c r="F88" s="94" t="str">
        <x:v>H-CAB-03</x:v>
      </x:c>
      <x:c r="G88" s="94" t="n">
        <x:v>300</x:v>
      </x:c>
      <x:c r="H88" s="94" t="n">
        <x:v>8</x:v>
      </x:c>
      <x:c r="I88" s="94" t="n">
        <x:v>4</x:v>
      </x:c>
      <x:c r="J88" s="94" t="str">
        <x:v>talk-02</x:v>
      </x:c>
      <x:c r="K88" s="94" t="str">
        <x:v>talk</x:v>
      </x:c>
      <x:c r="L88" s="94" t="str">
        <x:v>talk-02</x:v>
      </x:c>
      <x:c r="M88" s="94" t="str">
        <x:v>campaign.radio.programProgress.H-CAB-03</x:v>
      </x:c>
      <x:c r="N88" s="94" t="str">
        <x:v>tools/verify-radio-program.mjs · ordered playback receipt</x:v>
      </x:c>
    </x:row>
    <x:row r="89" ht="46" customHeight="1">
      <x:c r="A89" s="95" t="str">
        <x:v>BLOCK</x:v>
      </x:c>
      <x:c r="B89" s="95" t="str">
        <x:v>cabin_two</x:v>
      </x:c>
      <x:c r="C89" s="95" t="str">
        <x:v>talkFirst</x:v>
      </x:c>
      <x:c r="D89" s="95" t="str">
        <x:v>countryside_cabin</x:v>
      </x:c>
      <x:c r="E89" s="95" t="str">
        <x:v>enabled</x:v>
      </x:c>
      <x:c r="F89" s="95" t="str">
        <x:v>H-CAB-03</x:v>
      </x:c>
      <x:c r="G89" s="95" t="n">
        <x:v>300</x:v>
      </x:c>
      <x:c r="H89" s="95" t="n">
        <x:v>8</x:v>
      </x:c>
      <x:c r="I89" s="95" t="n">
        <x:v>5</x:v>
      </x:c>
      <x:c r="J89" s="95" t="str">
        <x:v>talk-03</x:v>
      </x:c>
      <x:c r="K89" s="95" t="str">
        <x:v>talk</x:v>
      </x:c>
      <x:c r="L89" s="95" t="str">
        <x:v>talk-03</x:v>
      </x:c>
      <x:c r="M89" s="95" t="str">
        <x:v>campaign.radio.programProgress.H-CAB-03</x:v>
      </x:c>
      <x:c r="N89" s="95" t="str">
        <x:v>tools/verify-radio-program.mjs · ordered playback receipt</x:v>
      </x:c>
    </x:row>
    <x:row r="90" ht="46" customHeight="1">
      <x:c r="A90" s="94" t="str">
        <x:v>BLOCK</x:v>
      </x:c>
      <x:c r="B90" s="94" t="str">
        <x:v>cabin_two</x:v>
      </x:c>
      <x:c r="C90" s="94" t="str">
        <x:v>talkFirst</x:v>
      </x:c>
      <x:c r="D90" s="94" t="str">
        <x:v>countryside_cabin</x:v>
      </x:c>
      <x:c r="E90" s="94" t="str">
        <x:v>enabled</x:v>
      </x:c>
      <x:c r="F90" s="94" t="str">
        <x:v>H-CAB-03</x:v>
      </x:c>
      <x:c r="G90" s="94" t="n">
        <x:v>300</x:v>
      </x:c>
      <x:c r="H90" s="94" t="n">
        <x:v>8</x:v>
      </x:c>
      <x:c r="I90" s="94" t="n">
        <x:v>6</x:v>
      </x:c>
      <x:c r="J90" s="94" t="str">
        <x:v>talk-04</x:v>
      </x:c>
      <x:c r="K90" s="94" t="str">
        <x:v>talk</x:v>
      </x:c>
      <x:c r="L90" s="94" t="str">
        <x:v>talk-04</x:v>
      </x:c>
      <x:c r="M90" s="94" t="str">
        <x:v>campaign.radio.programProgress.H-CAB-03</x:v>
      </x:c>
      <x:c r="N90" s="94" t="str">
        <x:v>tools/verify-radio-program.mjs · ordered playback receipt</x:v>
      </x:c>
    </x:row>
    <x:row r="91" ht="46" customHeight="1">
      <x:c r="A91" s="95" t="str">
        <x:v>BLOCK</x:v>
      </x:c>
      <x:c r="B91" s="95" t="str">
        <x:v>cabin_two</x:v>
      </x:c>
      <x:c r="C91" s="95" t="str">
        <x:v>talkFirst</x:v>
      </x:c>
      <x:c r="D91" s="95" t="str">
        <x:v>countryside_cabin</x:v>
      </x:c>
      <x:c r="E91" s="95" t="str">
        <x:v>enabled</x:v>
      </x:c>
      <x:c r="F91" s="95" t="str">
        <x:v>H-CAB-03</x:v>
      </x:c>
      <x:c r="G91" s="95" t="n">
        <x:v>300</x:v>
      </x:c>
      <x:c r="H91" s="95" t="n">
        <x:v>8</x:v>
      </x:c>
      <x:c r="I91" s="95" t="n">
        <x:v>7</x:v>
      </x:c>
      <x:c r="J91" s="95" t="str">
        <x:v>song-01</x:v>
      </x:c>
      <x:c r="K91" s="95" t="str">
        <x:v>song</x:v>
      </x:c>
      <x:c r="L91" s="95" t="str">
        <x:v>nehoo-with-a-guu</x:v>
      </x:c>
      <x:c r="M91" s="95" t="str">
        <x:v>campaign.radio.programProgress.H-CAB-03</x:v>
      </x:c>
      <x:c r="N91" s="95" t="str">
        <x:v>tools/verify-radio-program.mjs · ordered playback receipt</x:v>
      </x:c>
    </x:row>
    <x:row r="92" ht="46" customHeight="1">
      <x:c r="A92" s="94" t="str">
        <x:v>BLOCK</x:v>
      </x:c>
      <x:c r="B92" s="94" t="str">
        <x:v>cabin_two</x:v>
      </x:c>
      <x:c r="C92" s="94" t="str">
        <x:v>talkFirst</x:v>
      </x:c>
      <x:c r="D92" s="94" t="str">
        <x:v>countryside_cabin</x:v>
      </x:c>
      <x:c r="E92" s="94" t="str">
        <x:v>enabled</x:v>
      </x:c>
      <x:c r="F92" s="94" t="str">
        <x:v>H-CAB-03</x:v>
      </x:c>
      <x:c r="G92" s="94" t="n">
        <x:v>300</x:v>
      </x:c>
      <x:c r="H92" s="94" t="n">
        <x:v>8</x:v>
      </x:c>
      <x:c r="I92" s="94" t="n">
        <x:v>8</x:v>
      </x:c>
      <x:c r="J92" s="94" t="str">
        <x:v>editorial</x:v>
      </x:c>
      <x:c r="K92" s="94" t="str">
        <x:v>link</x:v>
      </x:c>
      <x:c r="L92" s="94" t="str">
        <x:v>editorial</x:v>
      </x:c>
      <x:c r="M92" s="94" t="str">
        <x:v>campaign.radio.programProgress.H-CAB-03</x:v>
      </x:c>
      <x:c r="N92" s="94" t="str">
        <x:v>tools/verify-radio-program.mjs · ordered playback receipt</x:v>
      </x:c>
    </x:row>
    <x:row r="93" ht="46" customHeight="1">
      <x:c r="A93" s="95" t="str">
        <x:v>BLOCK</x:v>
      </x:c>
      <x:c r="B93" s="95" t="str">
        <x:v>cabin_two</x:v>
      </x:c>
      <x:c r="C93" s="95" t="str">
        <x:v>talkFirst</x:v>
      </x:c>
      <x:c r="D93" s="95" t="str">
        <x:v>countryside_cabin</x:v>
      </x:c>
      <x:c r="E93" s="95" t="str">
        <x:v>enabled</x:v>
      </x:c>
      <x:c r="F93" s="95" t="str">
        <x:v>H-CAB-03</x:v>
      </x:c>
      <x:c r="G93" s="95" t="n">
        <x:v>300</x:v>
      </x:c>
      <x:c r="H93" s="95" t="n">
        <x:v>8</x:v>
      </x:c>
      <x:c r="I93" s="95" t="n">
        <x:v>9</x:v>
      </x:c>
      <x:c r="J93" s="95" t="str">
        <x:v>talk-05</x:v>
      </x:c>
      <x:c r="K93" s="95" t="str">
        <x:v>talk</x:v>
      </x:c>
      <x:c r="L93" s="95" t="str">
        <x:v>talk-05</x:v>
      </x:c>
      <x:c r="M93" s="95" t="str">
        <x:v>campaign.radio.programProgress.H-CAB-03</x:v>
      </x:c>
      <x:c r="N93" s="95" t="str">
        <x:v>tools/verify-radio-program.mjs · ordered playback receipt</x:v>
      </x:c>
    </x:row>
    <x:row r="94" ht="46" customHeight="1">
      <x:c r="A94" s="94" t="str">
        <x:v>BLOCK</x:v>
      </x:c>
      <x:c r="B94" s="94" t="str">
        <x:v>cabin_two</x:v>
      </x:c>
      <x:c r="C94" s="94" t="str">
        <x:v>talkFirst</x:v>
      </x:c>
      <x:c r="D94" s="94" t="str">
        <x:v>countryside_cabin</x:v>
      </x:c>
      <x:c r="E94" s="94" t="str">
        <x:v>enabled</x:v>
      </x:c>
      <x:c r="F94" s="94" t="str">
        <x:v>H-CAB-03</x:v>
      </x:c>
      <x:c r="G94" s="94" t="n">
        <x:v>300</x:v>
      </x:c>
      <x:c r="H94" s="94" t="n">
        <x:v>8</x:v>
      </x:c>
      <x:c r="I94" s="94" t="n">
        <x:v>10</x:v>
      </x:c>
      <x:c r="J94" s="94" t="str">
        <x:v>talk-06</x:v>
      </x:c>
      <x:c r="K94" s="94" t="str">
        <x:v>talk</x:v>
      </x:c>
      <x:c r="L94" s="94" t="str">
        <x:v>talk-06</x:v>
      </x:c>
      <x:c r="M94" s="94" t="str">
        <x:v>campaign.radio.programProgress.H-CAB-03</x:v>
      </x:c>
      <x:c r="N94" s="94" t="str">
        <x:v>tools/verify-radio-program.mjs · ordered playback receipt</x:v>
      </x:c>
    </x:row>
    <x:row r="95" ht="46" customHeight="1">
      <x:c r="A95" s="95" t="str">
        <x:v>BLOCK</x:v>
      </x:c>
      <x:c r="B95" s="95" t="str">
        <x:v>cabin_two</x:v>
      </x:c>
      <x:c r="C95" s="95" t="str">
        <x:v>talkFirst</x:v>
      </x:c>
      <x:c r="D95" s="95" t="str">
        <x:v>countryside_cabin</x:v>
      </x:c>
      <x:c r="E95" s="95" t="str">
        <x:v>enabled</x:v>
      </x:c>
      <x:c r="F95" s="95" t="str">
        <x:v>H-CAB-03</x:v>
      </x:c>
      <x:c r="G95" s="95" t="n">
        <x:v>300</x:v>
      </x:c>
      <x:c r="H95" s="95" t="n">
        <x:v>8</x:v>
      </x:c>
      <x:c r="I95" s="95" t="n">
        <x:v>11</x:v>
      </x:c>
      <x:c r="J95" s="95" t="str">
        <x:v>talk-07</x:v>
      </x:c>
      <x:c r="K95" s="95" t="str">
        <x:v>talk</x:v>
      </x:c>
      <x:c r="L95" s="95" t="str">
        <x:v>talk-07</x:v>
      </x:c>
      <x:c r="M95" s="95" t="str">
        <x:v>campaign.radio.programProgress.H-CAB-03</x:v>
      </x:c>
      <x:c r="N95" s="95" t="str">
        <x:v>tools/verify-radio-program.mjs · ordered playback receipt</x:v>
      </x:c>
    </x:row>
    <x:row r="96" ht="46" customHeight="1">
      <x:c r="A96" s="94" t="str">
        <x:v>BLOCK</x:v>
      </x:c>
      <x:c r="B96" s="94" t="str">
        <x:v>cabin_two</x:v>
      </x:c>
      <x:c r="C96" s="94" t="str">
        <x:v>talkFirst</x:v>
      </x:c>
      <x:c r="D96" s="94" t="str">
        <x:v>countryside_cabin</x:v>
      </x:c>
      <x:c r="E96" s="94" t="str">
        <x:v>enabled</x:v>
      </x:c>
      <x:c r="F96" s="94" t="str">
        <x:v>H-CAB-03</x:v>
      </x:c>
      <x:c r="G96" s="94" t="n">
        <x:v>300</x:v>
      </x:c>
      <x:c r="H96" s="94" t="n">
        <x:v>8</x:v>
      </x:c>
      <x:c r="I96" s="94" t="n">
        <x:v>12</x:v>
      </x:c>
      <x:c r="J96" s="94" t="str">
        <x:v>talk-08</x:v>
      </x:c>
      <x:c r="K96" s="94" t="str">
        <x:v>talk</x:v>
      </x:c>
      <x:c r="L96" s="94" t="str">
        <x:v>talk-08</x:v>
      </x:c>
      <x:c r="M96" s="94" t="str">
        <x:v>campaign.radio.programProgress.H-CAB-03</x:v>
      </x:c>
      <x:c r="N96" s="94" t="str">
        <x:v>tools/verify-radio-program.mjs · ordered playback receipt</x:v>
      </x:c>
    </x:row>
    <x:row r="97" ht="46" customHeight="1">
      <x:c r="A97" s="95" t="str">
        <x:v>BLOCK</x:v>
      </x:c>
      <x:c r="B97" s="95" t="str">
        <x:v>cabin_two</x:v>
      </x:c>
      <x:c r="C97" s="95" t="str">
        <x:v>talkFirst</x:v>
      </x:c>
      <x:c r="D97" s="95" t="str">
        <x:v>countryside_cabin</x:v>
      </x:c>
      <x:c r="E97" s="95" t="str">
        <x:v>enabled</x:v>
      </x:c>
      <x:c r="F97" s="95" t="str">
        <x:v>H-CAB-03</x:v>
      </x:c>
      <x:c r="G97" s="95" t="n">
        <x:v>300</x:v>
      </x:c>
      <x:c r="H97" s="95" t="n">
        <x:v>8</x:v>
      </x:c>
      <x:c r="I97" s="95" t="n">
        <x:v>13</x:v>
      </x:c>
      <x:c r="J97" s="95" t="str">
        <x:v>song-02</x:v>
      </x:c>
      <x:c r="K97" s="95" t="str">
        <x:v>song</x:v>
      </x:c>
      <x:c r="L97" s="95" t="str">
        <x:v>10-drunk-cigarettes</x:v>
      </x:c>
      <x:c r="M97" s="95" t="str">
        <x:v>campaign.radio.programProgress.H-CAB-03</x:v>
      </x:c>
      <x:c r="N97" s="95" t="str">
        <x:v>tools/verify-radio-program.mjs · ordered playback receipt</x:v>
      </x:c>
    </x:row>
    <x:row r="98" ht="46" customHeight="1">
      <x:c r="A98" s="94" t="str">
        <x:v>BLOCK</x:v>
      </x:c>
      <x:c r="B98" s="94" t="str">
        <x:v>cabin_two</x:v>
      </x:c>
      <x:c r="C98" s="94" t="str">
        <x:v>talkFirst</x:v>
      </x:c>
      <x:c r="D98" s="94" t="str">
        <x:v>countryside_cabin</x:v>
      </x:c>
      <x:c r="E98" s="94" t="str">
        <x:v>enabled</x:v>
      </x:c>
      <x:c r="F98" s="94" t="str">
        <x:v>H-CAB-03</x:v>
      </x:c>
      <x:c r="G98" s="94" t="n">
        <x:v>300</x:v>
      </x:c>
      <x:c r="H98" s="94" t="n">
        <x:v>8</x:v>
      </x:c>
      <x:c r="I98" s="94" t="n">
        <x:v>14</x:v>
      </x:c>
      <x:c r="J98" s="94" t="str">
        <x:v>ad</x:v>
      </x:c>
      <x:c r="K98" s="94" t="str">
        <x:v>ad</x:v>
      </x:c>
      <x:c r="L98" s="94" t="str">
        <x:v>attorney</x:v>
      </x:c>
      <x:c r="M98" s="94" t="str">
        <x:v>campaign.radio.programProgress.H-CAB-03</x:v>
      </x:c>
      <x:c r="N98" s="94" t="str">
        <x:v>tools/verify-radio-program.mjs · ordered playback receipt</x:v>
      </x:c>
    </x:row>
    <x:row r="99" ht="46" customHeight="1">
      <x:c r="A99" s="95" t="str">
        <x:v>BLOCK</x:v>
      </x:c>
      <x:c r="B99" s="95" t="str">
        <x:v>cabin_two</x:v>
      </x:c>
      <x:c r="C99" s="95" t="str">
        <x:v>talkFirst</x:v>
      </x:c>
      <x:c r="D99" s="95" t="str">
        <x:v>countryside_cabin</x:v>
      </x:c>
      <x:c r="E99" s="95" t="str">
        <x:v>enabled</x:v>
      </x:c>
      <x:c r="F99" s="95" t="str">
        <x:v>H-CAB-03</x:v>
      </x:c>
      <x:c r="G99" s="95" t="n">
        <x:v>300</x:v>
      </x:c>
      <x:c r="H99" s="95" t="n">
        <x:v>8</x:v>
      </x:c>
      <x:c r="I99" s="95" t="n">
        <x:v>15</x:v>
      </x:c>
      <x:c r="J99" s="95" t="str">
        <x:v>handoff</x:v>
      </x:c>
      <x:c r="K99" s="95" t="str">
        <x:v>handoff</x:v>
      </x:c>
      <x:c r="L99" s="95" t="str">
        <x:v>handoff</x:v>
      </x:c>
      <x:c r="M99" s="95" t="str">
        <x:v>campaign.radio.programProgress.H-CAB-03</x:v>
      </x:c>
      <x:c r="N99" s="95" t="str">
        <x:v>tools/verify-radio-program.mjs · ordered playback receipt</x:v>
      </x:c>
    </x:row>
    <x:row r="100" ht="46" customHeight="1">
      <x:c r="A100" s="94" t="str">
        <x:v>PROGRAM</x:v>
      </x:c>
      <x:c r="B100" s="94" t="str">
        <x:v>return_to_old_apartment</x:v>
      </x:c>
      <x:c r="C100" s="94" t="str">
        <x:v>talkFirst</x:v>
      </x:c>
      <x:c r="D100" s="94" t="str">
        <x:v>apartment</x:v>
      </x:c>
      <x:c r="E100" s="94" t="str">
        <x:v>enabled</x:v>
      </x:c>
      <x:c r="F100" s="94" t="str">
        <x:v>H-APT-02</x:v>
      </x:c>
      <x:c r="G100" s="94" t="n">
        <x:v>300</x:v>
      </x:c>
      <x:c r="H100" s="94" t="n">
        <x:v>12</x:v>
      </x:c>
      <x:c r="I100" s="94" t="str"/>
      <x:c r="J100" s="94" t="str"/>
      <x:c r="K100" s="94" t="str"/>
      <x:c r="L100" s="94" t="str"/>
      <x:c r="M100" s="94" t="str">
        <x:v>campaign.radio.programProgress.H-APT-02</x:v>
      </x:c>
      <x:c r="N100" s="94" t="str">
        <x:v>src/core/radio-program.js · RADIO_PROGRAMS</x:v>
      </x:c>
    </x:row>
    <x:row r="101" ht="46" customHeight="1">
      <x:c r="A101" s="95" t="str">
        <x:v>BLOCK</x:v>
      </x:c>
      <x:c r="B101" s="95" t="str">
        <x:v>return_to_old_apartment</x:v>
      </x:c>
      <x:c r="C101" s="95" t="str">
        <x:v>talkFirst</x:v>
      </x:c>
      <x:c r="D101" s="95" t="str">
        <x:v>apartment</x:v>
      </x:c>
      <x:c r="E101" s="95" t="str">
        <x:v>enabled</x:v>
      </x:c>
      <x:c r="F101" s="95" t="str">
        <x:v>H-APT-02</x:v>
      </x:c>
      <x:c r="G101" s="95" t="n">
        <x:v>300</x:v>
      </x:c>
      <x:c r="H101" s="95" t="n">
        <x:v>12</x:v>
      </x:c>
      <x:c r="I101" s="95" t="n">
        <x:v>1</x:v>
      </x:c>
      <x:c r="J101" s="95" t="str">
        <x:v>ident</x:v>
      </x:c>
      <x:c r="K101" s="95" t="str">
        <x:v>ident</x:v>
      </x:c>
      <x:c r="L101" s="95" t="str">
        <x:v>ident</x:v>
      </x:c>
      <x:c r="M101" s="95" t="str">
        <x:v>campaign.radio.programProgress.H-APT-02</x:v>
      </x:c>
      <x:c r="N101" s="95" t="str">
        <x:v>tools/verify-radio-program.mjs · ordered playback receipt</x:v>
      </x:c>
    </x:row>
    <x:row r="102" ht="46" customHeight="1">
      <x:c r="A102" s="94" t="str">
        <x:v>BLOCK</x:v>
      </x:c>
      <x:c r="B102" s="94" t="str">
        <x:v>return_to_old_apartment</x:v>
      </x:c>
      <x:c r="C102" s="94" t="str">
        <x:v>talkFirst</x:v>
      </x:c>
      <x:c r="D102" s="94" t="str">
        <x:v>apartment</x:v>
      </x:c>
      <x:c r="E102" s="94" t="str">
        <x:v>enabled</x:v>
      </x:c>
      <x:c r="F102" s="94" t="str">
        <x:v>H-APT-02</x:v>
      </x:c>
      <x:c r="G102" s="94" t="n">
        <x:v>300</x:v>
      </x:c>
      <x:c r="H102" s="94" t="n">
        <x:v>12</x:v>
      </x:c>
      <x:c r="I102" s="94" t="n">
        <x:v>2</x:v>
      </x:c>
      <x:c r="J102" s="94" t="str">
        <x:v>show-intro</x:v>
      </x:c>
      <x:c r="K102" s="94" t="str">
        <x:v>showIntro</x:v>
      </x:c>
      <x:c r="L102" s="94" t="str">
        <x:v>show-intro</x:v>
      </x:c>
      <x:c r="M102" s="94" t="str">
        <x:v>campaign.radio.programProgress.H-APT-02</x:v>
      </x:c>
      <x:c r="N102" s="94" t="str">
        <x:v>tools/verify-radio-program.mjs · ordered playback receipt</x:v>
      </x:c>
    </x:row>
    <x:row r="103" ht="46" customHeight="1">
      <x:c r="A103" s="95" t="str">
        <x:v>BLOCK</x:v>
      </x:c>
      <x:c r="B103" s="95" t="str">
        <x:v>return_to_old_apartment</x:v>
      </x:c>
      <x:c r="C103" s="95" t="str">
        <x:v>talkFirst</x:v>
      </x:c>
      <x:c r="D103" s="95" t="str">
        <x:v>apartment</x:v>
      </x:c>
      <x:c r="E103" s="95" t="str">
        <x:v>enabled</x:v>
      </x:c>
      <x:c r="F103" s="95" t="str">
        <x:v>H-APT-02</x:v>
      </x:c>
      <x:c r="G103" s="95" t="n">
        <x:v>300</x:v>
      </x:c>
      <x:c r="H103" s="95" t="n">
        <x:v>12</x:v>
      </x:c>
      <x:c r="I103" s="95" t="n">
        <x:v>3</x:v>
      </x:c>
      <x:c r="J103" s="95" t="str">
        <x:v>talk-01</x:v>
      </x:c>
      <x:c r="K103" s="95" t="str">
        <x:v>talk</x:v>
      </x:c>
      <x:c r="L103" s="95" t="str">
        <x:v>talk-01</x:v>
      </x:c>
      <x:c r="M103" s="95" t="str">
        <x:v>campaign.radio.programProgress.H-APT-02</x:v>
      </x:c>
      <x:c r="N103" s="95" t="str">
        <x:v>tools/verify-radio-program.mjs · ordered playback receipt</x:v>
      </x:c>
    </x:row>
    <x:row r="104" ht="46" customHeight="1">
      <x:c r="A104" s="94" t="str">
        <x:v>BLOCK</x:v>
      </x:c>
      <x:c r="B104" s="94" t="str">
        <x:v>return_to_old_apartment</x:v>
      </x:c>
      <x:c r="C104" s="94" t="str">
        <x:v>talkFirst</x:v>
      </x:c>
      <x:c r="D104" s="94" t="str">
        <x:v>apartment</x:v>
      </x:c>
      <x:c r="E104" s="94" t="str">
        <x:v>enabled</x:v>
      </x:c>
      <x:c r="F104" s="94" t="str">
        <x:v>H-APT-02</x:v>
      </x:c>
      <x:c r="G104" s="94" t="n">
        <x:v>300</x:v>
      </x:c>
      <x:c r="H104" s="94" t="n">
        <x:v>12</x:v>
      </x:c>
      <x:c r="I104" s="94" t="n">
        <x:v>4</x:v>
      </x:c>
      <x:c r="J104" s="94" t="str">
        <x:v>talk-02</x:v>
      </x:c>
      <x:c r="K104" s="94" t="str">
        <x:v>talk</x:v>
      </x:c>
      <x:c r="L104" s="94" t="str">
        <x:v>talk-02</x:v>
      </x:c>
      <x:c r="M104" s="94" t="str">
        <x:v>campaign.radio.programProgress.H-APT-02</x:v>
      </x:c>
      <x:c r="N104" s="94" t="str">
        <x:v>tools/verify-radio-program.mjs · ordered playback receipt</x:v>
      </x:c>
    </x:row>
    <x:row r="105" ht="46" customHeight="1">
      <x:c r="A105" s="95" t="str">
        <x:v>BLOCK</x:v>
      </x:c>
      <x:c r="B105" s="95" t="str">
        <x:v>return_to_old_apartment</x:v>
      </x:c>
      <x:c r="C105" s="95" t="str">
        <x:v>talkFirst</x:v>
      </x:c>
      <x:c r="D105" s="95" t="str">
        <x:v>apartment</x:v>
      </x:c>
      <x:c r="E105" s="95" t="str">
        <x:v>enabled</x:v>
      </x:c>
      <x:c r="F105" s="95" t="str">
        <x:v>H-APT-02</x:v>
      </x:c>
      <x:c r="G105" s="95" t="n">
        <x:v>300</x:v>
      </x:c>
      <x:c r="H105" s="95" t="n">
        <x:v>12</x:v>
      </x:c>
      <x:c r="I105" s="95" t="n">
        <x:v>5</x:v>
      </x:c>
      <x:c r="J105" s="95" t="str">
        <x:v>talk-03</x:v>
      </x:c>
      <x:c r="K105" s="95" t="str">
        <x:v>talk</x:v>
      </x:c>
      <x:c r="L105" s="95" t="str">
        <x:v>talk-03</x:v>
      </x:c>
      <x:c r="M105" s="95" t="str">
        <x:v>campaign.radio.programProgress.H-APT-02</x:v>
      </x:c>
      <x:c r="N105" s="95" t="str">
        <x:v>tools/verify-radio-program.mjs · ordered playback receipt</x:v>
      </x:c>
    </x:row>
    <x:row r="106" ht="46" customHeight="1">
      <x:c r="A106" s="94" t="str">
        <x:v>BLOCK</x:v>
      </x:c>
      <x:c r="B106" s="94" t="str">
        <x:v>return_to_old_apartment</x:v>
      </x:c>
      <x:c r="C106" s="94" t="str">
        <x:v>talkFirst</x:v>
      </x:c>
      <x:c r="D106" s="94" t="str">
        <x:v>apartment</x:v>
      </x:c>
      <x:c r="E106" s="94" t="str">
        <x:v>enabled</x:v>
      </x:c>
      <x:c r="F106" s="94" t="str">
        <x:v>H-APT-02</x:v>
      </x:c>
      <x:c r="G106" s="94" t="n">
        <x:v>300</x:v>
      </x:c>
      <x:c r="H106" s="94" t="n">
        <x:v>12</x:v>
      </x:c>
      <x:c r="I106" s="94" t="n">
        <x:v>6</x:v>
      </x:c>
      <x:c r="J106" s="94" t="str">
        <x:v>talk-04</x:v>
      </x:c>
      <x:c r="K106" s="94" t="str">
        <x:v>talk</x:v>
      </x:c>
      <x:c r="L106" s="94" t="str">
        <x:v>talk-04</x:v>
      </x:c>
      <x:c r="M106" s="94" t="str">
        <x:v>campaign.radio.programProgress.H-APT-02</x:v>
      </x:c>
      <x:c r="N106" s="94" t="str">
        <x:v>tools/verify-radio-program.mjs · ordered playback receipt</x:v>
      </x:c>
    </x:row>
    <x:row r="107" ht="46" customHeight="1">
      <x:c r="A107" s="95" t="str">
        <x:v>BLOCK</x:v>
      </x:c>
      <x:c r="B107" s="95" t="str">
        <x:v>return_to_old_apartment</x:v>
      </x:c>
      <x:c r="C107" s="95" t="str">
        <x:v>talkFirst</x:v>
      </x:c>
      <x:c r="D107" s="95" t="str">
        <x:v>apartment</x:v>
      </x:c>
      <x:c r="E107" s="95" t="str">
        <x:v>enabled</x:v>
      </x:c>
      <x:c r="F107" s="95" t="str">
        <x:v>H-APT-02</x:v>
      </x:c>
      <x:c r="G107" s="95" t="n">
        <x:v>300</x:v>
      </x:c>
      <x:c r="H107" s="95" t="n">
        <x:v>12</x:v>
      </x:c>
      <x:c r="I107" s="95" t="n">
        <x:v>7</x:v>
      </x:c>
      <x:c r="J107" s="95" t="str">
        <x:v>song-01</x:v>
      </x:c>
      <x:c r="K107" s="95" t="str">
        <x:v>song</x:v>
      </x:c>
      <x:c r="L107" s="95" t="str">
        <x:v>through-the-night</x:v>
      </x:c>
      <x:c r="M107" s="95" t="str">
        <x:v>campaign.radio.programProgress.H-APT-02</x:v>
      </x:c>
      <x:c r="N107" s="95" t="str">
        <x:v>tools/verify-radio-program.mjs · ordered playback receipt</x:v>
      </x:c>
    </x:row>
    <x:row r="108" ht="46" customHeight="1">
      <x:c r="A108" s="94" t="str">
        <x:v>BLOCK</x:v>
      </x:c>
      <x:c r="B108" s="94" t="str">
        <x:v>return_to_old_apartment</x:v>
      </x:c>
      <x:c r="C108" s="94" t="str">
        <x:v>talkFirst</x:v>
      </x:c>
      <x:c r="D108" s="94" t="str">
        <x:v>apartment</x:v>
      </x:c>
      <x:c r="E108" s="94" t="str">
        <x:v>enabled</x:v>
      </x:c>
      <x:c r="F108" s="94" t="str">
        <x:v>H-APT-02</x:v>
      </x:c>
      <x:c r="G108" s="94" t="n">
        <x:v>300</x:v>
      </x:c>
      <x:c r="H108" s="94" t="n">
        <x:v>12</x:v>
      </x:c>
      <x:c r="I108" s="94" t="n">
        <x:v>8</x:v>
      </x:c>
      <x:c r="J108" s="94" t="str">
        <x:v>editorial</x:v>
      </x:c>
      <x:c r="K108" s="94" t="str">
        <x:v>news</x:v>
      </x:c>
      <x:c r="L108" s="94" t="str">
        <x:v>news.segment.motel</x:v>
      </x:c>
      <x:c r="M108" s="94" t="str">
        <x:v>campaign.radio.programProgress.H-APT-02</x:v>
      </x:c>
      <x:c r="N108" s="94" t="str">
        <x:v>tools/verify-radio-program.mjs · ordered playback receipt</x:v>
      </x:c>
    </x:row>
    <x:row r="109" ht="46" customHeight="1">
      <x:c r="A109" s="95" t="str">
        <x:v>BLOCK</x:v>
      </x:c>
      <x:c r="B109" s="95" t="str">
        <x:v>return_to_old_apartment</x:v>
      </x:c>
      <x:c r="C109" s="95" t="str">
        <x:v>talkFirst</x:v>
      </x:c>
      <x:c r="D109" s="95" t="str">
        <x:v>apartment</x:v>
      </x:c>
      <x:c r="E109" s="95" t="str">
        <x:v>enabled</x:v>
      </x:c>
      <x:c r="F109" s="95" t="str">
        <x:v>H-APT-02</x:v>
      </x:c>
      <x:c r="G109" s="95" t="n">
        <x:v>300</x:v>
      </x:c>
      <x:c r="H109" s="95" t="n">
        <x:v>12</x:v>
      </x:c>
      <x:c r="I109" s="95" t="n">
        <x:v>9</x:v>
      </x:c>
      <x:c r="J109" s="95" t="str">
        <x:v>talk-05</x:v>
      </x:c>
      <x:c r="K109" s="95" t="str">
        <x:v>talk</x:v>
      </x:c>
      <x:c r="L109" s="95" t="str">
        <x:v>talk-05</x:v>
      </x:c>
      <x:c r="M109" s="95" t="str">
        <x:v>campaign.radio.programProgress.H-APT-02</x:v>
      </x:c>
      <x:c r="N109" s="95" t="str">
        <x:v>tools/verify-radio-program.mjs · ordered playback receipt</x:v>
      </x:c>
    </x:row>
    <x:row r="110" ht="46" customHeight="1">
      <x:c r="A110" s="94" t="str">
        <x:v>BLOCK</x:v>
      </x:c>
      <x:c r="B110" s="94" t="str">
        <x:v>return_to_old_apartment</x:v>
      </x:c>
      <x:c r="C110" s="94" t="str">
        <x:v>talkFirst</x:v>
      </x:c>
      <x:c r="D110" s="94" t="str">
        <x:v>apartment</x:v>
      </x:c>
      <x:c r="E110" s="94" t="str">
        <x:v>enabled</x:v>
      </x:c>
      <x:c r="F110" s="94" t="str">
        <x:v>H-APT-02</x:v>
      </x:c>
      <x:c r="G110" s="94" t="n">
        <x:v>300</x:v>
      </x:c>
      <x:c r="H110" s="94" t="n">
        <x:v>12</x:v>
      </x:c>
      <x:c r="I110" s="94" t="n">
        <x:v>10</x:v>
      </x:c>
      <x:c r="J110" s="94" t="str">
        <x:v>talk-06</x:v>
      </x:c>
      <x:c r="K110" s="94" t="str">
        <x:v>talk</x:v>
      </x:c>
      <x:c r="L110" s="94" t="str">
        <x:v>talk-06</x:v>
      </x:c>
      <x:c r="M110" s="94" t="str">
        <x:v>campaign.radio.programProgress.H-APT-02</x:v>
      </x:c>
      <x:c r="N110" s="94" t="str">
        <x:v>tools/verify-radio-program.mjs · ordered playback receipt</x:v>
      </x:c>
    </x:row>
    <x:row r="111" ht="46" customHeight="1">
      <x:c r="A111" s="95" t="str">
        <x:v>BLOCK</x:v>
      </x:c>
      <x:c r="B111" s="95" t="str">
        <x:v>return_to_old_apartment</x:v>
      </x:c>
      <x:c r="C111" s="95" t="str">
        <x:v>talkFirst</x:v>
      </x:c>
      <x:c r="D111" s="95" t="str">
        <x:v>apartment</x:v>
      </x:c>
      <x:c r="E111" s="95" t="str">
        <x:v>enabled</x:v>
      </x:c>
      <x:c r="F111" s="95" t="str">
        <x:v>H-APT-02</x:v>
      </x:c>
      <x:c r="G111" s="95" t="n">
        <x:v>300</x:v>
      </x:c>
      <x:c r="H111" s="95" t="n">
        <x:v>12</x:v>
      </x:c>
      <x:c r="I111" s="95" t="n">
        <x:v>11</x:v>
      </x:c>
      <x:c r="J111" s="95" t="str">
        <x:v>talk-07</x:v>
      </x:c>
      <x:c r="K111" s="95" t="str">
        <x:v>talk</x:v>
      </x:c>
      <x:c r="L111" s="95" t="str">
        <x:v>talk-07</x:v>
      </x:c>
      <x:c r="M111" s="95" t="str">
        <x:v>campaign.radio.programProgress.H-APT-02</x:v>
      </x:c>
      <x:c r="N111" s="95" t="str">
        <x:v>tools/verify-radio-program.mjs · ordered playback receipt</x:v>
      </x:c>
    </x:row>
    <x:row r="112" ht="46" customHeight="1">
      <x:c r="A112" s="94" t="str">
        <x:v>BLOCK</x:v>
      </x:c>
      <x:c r="B112" s="94" t="str">
        <x:v>return_to_old_apartment</x:v>
      </x:c>
      <x:c r="C112" s="94" t="str">
        <x:v>talkFirst</x:v>
      </x:c>
      <x:c r="D112" s="94" t="str">
        <x:v>apartment</x:v>
      </x:c>
      <x:c r="E112" s="94" t="str">
        <x:v>enabled</x:v>
      </x:c>
      <x:c r="F112" s="94" t="str">
        <x:v>H-APT-02</x:v>
      </x:c>
      <x:c r="G112" s="94" t="n">
        <x:v>300</x:v>
      </x:c>
      <x:c r="H112" s="94" t="n">
        <x:v>12</x:v>
      </x:c>
      <x:c r="I112" s="94" t="n">
        <x:v>12</x:v>
      </x:c>
      <x:c r="J112" s="94" t="str">
        <x:v>talk-08</x:v>
      </x:c>
      <x:c r="K112" s="94" t="str">
        <x:v>talk</x:v>
      </x:c>
      <x:c r="L112" s="94" t="str">
        <x:v>talk-08</x:v>
      </x:c>
      <x:c r="M112" s="94" t="str">
        <x:v>campaign.radio.programProgress.H-APT-02</x:v>
      </x:c>
      <x:c r="N112" s="94" t="str">
        <x:v>tools/verify-radio-program.mjs · ordered playback receipt</x:v>
      </x:c>
    </x:row>
    <x:row r="113" ht="46" customHeight="1">
      <x:c r="A113" s="95" t="str">
        <x:v>BLOCK</x:v>
      </x:c>
      <x:c r="B113" s="95" t="str">
        <x:v>return_to_old_apartment</x:v>
      </x:c>
      <x:c r="C113" s="95" t="str">
        <x:v>talkFirst</x:v>
      </x:c>
      <x:c r="D113" s="95" t="str">
        <x:v>apartment</x:v>
      </x:c>
      <x:c r="E113" s="95" t="str">
        <x:v>enabled</x:v>
      </x:c>
      <x:c r="F113" s="95" t="str">
        <x:v>H-APT-02</x:v>
      </x:c>
      <x:c r="G113" s="95" t="n">
        <x:v>300</x:v>
      </x:c>
      <x:c r="H113" s="95" t="n">
        <x:v>12</x:v>
      </x:c>
      <x:c r="I113" s="95" t="n">
        <x:v>13</x:v>
      </x:c>
      <x:c r="J113" s="95" t="str">
        <x:v>song-02</x:v>
      </x:c>
      <x:c r="K113" s="95" t="str">
        <x:v>song</x:v>
      </x:c>
      <x:c r="L113" s="95" t="str">
        <x:v>good-ole-days</x:v>
      </x:c>
      <x:c r="M113" s="95" t="str">
        <x:v>campaign.radio.programProgress.H-APT-02</x:v>
      </x:c>
      <x:c r="N113" s="95" t="str">
        <x:v>tools/verify-radio-program.mjs · ordered playback receipt</x:v>
      </x:c>
    </x:row>
    <x:row r="114" ht="46" customHeight="1">
      <x:c r="A114" s="94" t="str">
        <x:v>BLOCK</x:v>
      </x:c>
      <x:c r="B114" s="94" t="str">
        <x:v>return_to_old_apartment</x:v>
      </x:c>
      <x:c r="C114" s="94" t="str">
        <x:v>talkFirst</x:v>
      </x:c>
      <x:c r="D114" s="94" t="str">
        <x:v>apartment</x:v>
      </x:c>
      <x:c r="E114" s="94" t="str">
        <x:v>enabled</x:v>
      </x:c>
      <x:c r="F114" s="94" t="str">
        <x:v>H-APT-02</x:v>
      </x:c>
      <x:c r="G114" s="94" t="n">
        <x:v>300</x:v>
      </x:c>
      <x:c r="H114" s="94" t="n">
        <x:v>12</x:v>
      </x:c>
      <x:c r="I114" s="94" t="n">
        <x:v>14</x:v>
      </x:c>
      <x:c r="J114" s="94" t="str">
        <x:v>ad</x:v>
      </x:c>
      <x:c r="K114" s="94" t="str">
        <x:v>ad</x:v>
      </x:c>
      <x:c r="L114" s="94" t="str">
        <x:v>dealership</x:v>
      </x:c>
      <x:c r="M114" s="94" t="str">
        <x:v>campaign.radio.programProgress.H-APT-02</x:v>
      </x:c>
      <x:c r="N114" s="94" t="str">
        <x:v>tools/verify-radio-program.mjs · ordered playback receipt</x:v>
      </x:c>
    </x:row>
    <x:row r="115" ht="46" customHeight="1">
      <x:c r="A115" s="95" t="str">
        <x:v>BLOCK</x:v>
      </x:c>
      <x:c r="B115" s="95" t="str">
        <x:v>return_to_old_apartment</x:v>
      </x:c>
      <x:c r="C115" s="95" t="str">
        <x:v>talkFirst</x:v>
      </x:c>
      <x:c r="D115" s="95" t="str">
        <x:v>apartment</x:v>
      </x:c>
      <x:c r="E115" s="95" t="str">
        <x:v>enabled</x:v>
      </x:c>
      <x:c r="F115" s="95" t="str">
        <x:v>H-APT-02</x:v>
      </x:c>
      <x:c r="G115" s="95" t="n">
        <x:v>300</x:v>
      </x:c>
      <x:c r="H115" s="95" t="n">
        <x:v>12</x:v>
      </x:c>
      <x:c r="I115" s="95" t="n">
        <x:v>15</x:v>
      </x:c>
      <x:c r="J115" s="95" t="str">
        <x:v>handoff</x:v>
      </x:c>
      <x:c r="K115" s="95" t="str">
        <x:v>handoff</x:v>
      </x:c>
      <x:c r="L115" s="95" t="str">
        <x:v>handoff</x:v>
      </x:c>
      <x:c r="M115" s="95" t="str">
        <x:v>campaign.radio.programProgress.H-APT-02</x:v>
      </x:c>
      <x:c r="N115" s="95" t="str">
        <x:v>tools/verify-radio-program.mjs · ordered playback receipt</x:v>
      </x:c>
    </x:row>
    <x:row r="116" ht="46" customHeight="1">
      <x:c r="A116" s="94" t="str">
        <x:v>PROGRAM</x:v>
      </x:c>
      <x:c r="B116" s="94" t="str">
        <x:v>new_space_call</x:v>
      </x:c>
      <x:c r="C116" s="94" t="str">
        <x:v>talkFirst</x:v>
      </x:c>
      <x:c r="D116" s="94" t="str">
        <x:v>apartment</x:v>
      </x:c>
      <x:c r="E116" s="94" t="str">
        <x:v>enabled</x:v>
      </x:c>
      <x:c r="F116" s="94" t="str">
        <x:v>H-APT-03</x:v>
      </x:c>
      <x:c r="G116" s="94" t="n">
        <x:v>300</x:v>
      </x:c>
      <x:c r="H116" s="94" t="n">
        <x:v>18</x:v>
      </x:c>
      <x:c r="I116" s="94" t="str"/>
      <x:c r="J116" s="94" t="str"/>
      <x:c r="K116" s="94" t="str"/>
      <x:c r="L116" s="94" t="str"/>
      <x:c r="M116" s="94" t="str">
        <x:v>campaign.radio.programProgress.H-APT-03</x:v>
      </x:c>
      <x:c r="N116" s="94" t="str">
        <x:v>src/core/radio-program.js · RADIO_PROGRAMS</x:v>
      </x:c>
    </x:row>
    <x:row r="117" ht="46" customHeight="1">
      <x:c r="A117" s="95" t="str">
        <x:v>BLOCK</x:v>
      </x:c>
      <x:c r="B117" s="95" t="str">
        <x:v>new_space_call</x:v>
      </x:c>
      <x:c r="C117" s="95" t="str">
        <x:v>talkFirst</x:v>
      </x:c>
      <x:c r="D117" s="95" t="str">
        <x:v>apartment</x:v>
      </x:c>
      <x:c r="E117" s="95" t="str">
        <x:v>enabled</x:v>
      </x:c>
      <x:c r="F117" s="95" t="str">
        <x:v>H-APT-03</x:v>
      </x:c>
      <x:c r="G117" s="95" t="n">
        <x:v>300</x:v>
      </x:c>
      <x:c r="H117" s="95" t="n">
        <x:v>18</x:v>
      </x:c>
      <x:c r="I117" s="95" t="n">
        <x:v>1</x:v>
      </x:c>
      <x:c r="J117" s="95" t="str">
        <x:v>ident</x:v>
      </x:c>
      <x:c r="K117" s="95" t="str">
        <x:v>ident</x:v>
      </x:c>
      <x:c r="L117" s="95" t="str">
        <x:v>ident</x:v>
      </x:c>
      <x:c r="M117" s="95" t="str">
        <x:v>campaign.radio.programProgress.H-APT-03</x:v>
      </x:c>
      <x:c r="N117" s="95" t="str">
        <x:v>tools/verify-radio-program.mjs · ordered playback receipt</x:v>
      </x:c>
    </x:row>
    <x:row r="118" ht="46" customHeight="1">
      <x:c r="A118" s="94" t="str">
        <x:v>BLOCK</x:v>
      </x:c>
      <x:c r="B118" s="94" t="str">
        <x:v>new_space_call</x:v>
      </x:c>
      <x:c r="C118" s="94" t="str">
        <x:v>talkFirst</x:v>
      </x:c>
      <x:c r="D118" s="94" t="str">
        <x:v>apartment</x:v>
      </x:c>
      <x:c r="E118" s="94" t="str">
        <x:v>enabled</x:v>
      </x:c>
      <x:c r="F118" s="94" t="str">
        <x:v>H-APT-03</x:v>
      </x:c>
      <x:c r="G118" s="94" t="n">
        <x:v>300</x:v>
      </x:c>
      <x:c r="H118" s="94" t="n">
        <x:v>18</x:v>
      </x:c>
      <x:c r="I118" s="94" t="n">
        <x:v>2</x:v>
      </x:c>
      <x:c r="J118" s="94" t="str">
        <x:v>show-intro</x:v>
      </x:c>
      <x:c r="K118" s="94" t="str">
        <x:v>showIntro</x:v>
      </x:c>
      <x:c r="L118" s="94" t="str">
        <x:v>show-intro</x:v>
      </x:c>
      <x:c r="M118" s="94" t="str">
        <x:v>campaign.radio.programProgress.H-APT-03</x:v>
      </x:c>
      <x:c r="N118" s="94" t="str">
        <x:v>tools/verify-radio-program.mjs · ordered playback receipt</x:v>
      </x:c>
    </x:row>
    <x:row r="119" ht="46" customHeight="1">
      <x:c r="A119" s="95" t="str">
        <x:v>BLOCK</x:v>
      </x:c>
      <x:c r="B119" s="95" t="str">
        <x:v>new_space_call</x:v>
      </x:c>
      <x:c r="C119" s="95" t="str">
        <x:v>talkFirst</x:v>
      </x:c>
      <x:c r="D119" s="95" t="str">
        <x:v>apartment</x:v>
      </x:c>
      <x:c r="E119" s="95" t="str">
        <x:v>enabled</x:v>
      </x:c>
      <x:c r="F119" s="95" t="str">
        <x:v>H-APT-03</x:v>
      </x:c>
      <x:c r="G119" s="95" t="n">
        <x:v>300</x:v>
      </x:c>
      <x:c r="H119" s="95" t="n">
        <x:v>18</x:v>
      </x:c>
      <x:c r="I119" s="95" t="n">
        <x:v>3</x:v>
      </x:c>
      <x:c r="J119" s="95" t="str">
        <x:v>talk-01</x:v>
      </x:c>
      <x:c r="K119" s="95" t="str">
        <x:v>talk</x:v>
      </x:c>
      <x:c r="L119" s="95" t="str">
        <x:v>talk-01</x:v>
      </x:c>
      <x:c r="M119" s="95" t="str">
        <x:v>campaign.radio.programProgress.H-APT-03</x:v>
      </x:c>
      <x:c r="N119" s="95" t="str">
        <x:v>tools/verify-radio-program.mjs · ordered playback receipt</x:v>
      </x:c>
    </x:row>
    <x:row r="120" ht="46" customHeight="1">
      <x:c r="A120" s="94" t="str">
        <x:v>BLOCK</x:v>
      </x:c>
      <x:c r="B120" s="94" t="str">
        <x:v>new_space_call</x:v>
      </x:c>
      <x:c r="C120" s="94" t="str">
        <x:v>talkFirst</x:v>
      </x:c>
      <x:c r="D120" s="94" t="str">
        <x:v>apartment</x:v>
      </x:c>
      <x:c r="E120" s="94" t="str">
        <x:v>enabled</x:v>
      </x:c>
      <x:c r="F120" s="94" t="str">
        <x:v>H-APT-03</x:v>
      </x:c>
      <x:c r="G120" s="94" t="n">
        <x:v>300</x:v>
      </x:c>
      <x:c r="H120" s="94" t="n">
        <x:v>18</x:v>
      </x:c>
      <x:c r="I120" s="94" t="n">
        <x:v>4</x:v>
      </x:c>
      <x:c r="J120" s="94" t="str">
        <x:v>talk-02</x:v>
      </x:c>
      <x:c r="K120" s="94" t="str">
        <x:v>talk</x:v>
      </x:c>
      <x:c r="L120" s="94" t="str">
        <x:v>talk-02</x:v>
      </x:c>
      <x:c r="M120" s="94" t="str">
        <x:v>campaign.radio.programProgress.H-APT-03</x:v>
      </x:c>
      <x:c r="N120" s="94" t="str">
        <x:v>tools/verify-radio-program.mjs · ordered playback receipt</x:v>
      </x:c>
    </x:row>
    <x:row r="121" ht="46" customHeight="1">
      <x:c r="A121" s="95" t="str">
        <x:v>BLOCK</x:v>
      </x:c>
      <x:c r="B121" s="95" t="str">
        <x:v>new_space_call</x:v>
      </x:c>
      <x:c r="C121" s="95" t="str">
        <x:v>talkFirst</x:v>
      </x:c>
      <x:c r="D121" s="95" t="str">
        <x:v>apartment</x:v>
      </x:c>
      <x:c r="E121" s="95" t="str">
        <x:v>enabled</x:v>
      </x:c>
      <x:c r="F121" s="95" t="str">
        <x:v>H-APT-03</x:v>
      </x:c>
      <x:c r="G121" s="95" t="n">
        <x:v>300</x:v>
      </x:c>
      <x:c r="H121" s="95" t="n">
        <x:v>18</x:v>
      </x:c>
      <x:c r="I121" s="95" t="n">
        <x:v>5</x:v>
      </x:c>
      <x:c r="J121" s="95" t="str">
        <x:v>talk-03</x:v>
      </x:c>
      <x:c r="K121" s="95" t="str">
        <x:v>talk</x:v>
      </x:c>
      <x:c r="L121" s="95" t="str">
        <x:v>talk-03</x:v>
      </x:c>
      <x:c r="M121" s="95" t="str">
        <x:v>campaign.radio.programProgress.H-APT-03</x:v>
      </x:c>
      <x:c r="N121" s="95" t="str">
        <x:v>tools/verify-radio-program.mjs · ordered playback receipt</x:v>
      </x:c>
    </x:row>
    <x:row r="122" ht="46" customHeight="1">
      <x:c r="A122" s="94" t="str">
        <x:v>BLOCK</x:v>
      </x:c>
      <x:c r="B122" s="94" t="str">
        <x:v>new_space_call</x:v>
      </x:c>
      <x:c r="C122" s="94" t="str">
        <x:v>talkFirst</x:v>
      </x:c>
      <x:c r="D122" s="94" t="str">
        <x:v>apartment</x:v>
      </x:c>
      <x:c r="E122" s="94" t="str">
        <x:v>enabled</x:v>
      </x:c>
      <x:c r="F122" s="94" t="str">
        <x:v>H-APT-03</x:v>
      </x:c>
      <x:c r="G122" s="94" t="n">
        <x:v>300</x:v>
      </x:c>
      <x:c r="H122" s="94" t="n">
        <x:v>18</x:v>
      </x:c>
      <x:c r="I122" s="94" t="n">
        <x:v>6</x:v>
      </x:c>
      <x:c r="J122" s="94" t="str">
        <x:v>talk-04</x:v>
      </x:c>
      <x:c r="K122" s="94" t="str">
        <x:v>talk</x:v>
      </x:c>
      <x:c r="L122" s="94" t="str">
        <x:v>talk-04</x:v>
      </x:c>
      <x:c r="M122" s="94" t="str">
        <x:v>campaign.radio.programProgress.H-APT-03</x:v>
      </x:c>
      <x:c r="N122" s="94" t="str">
        <x:v>tools/verify-radio-program.mjs · ordered playback receipt</x:v>
      </x:c>
    </x:row>
    <x:row r="123" ht="46" customHeight="1">
      <x:c r="A123" s="95" t="str">
        <x:v>BLOCK</x:v>
      </x:c>
      <x:c r="B123" s="95" t="str">
        <x:v>new_space_call</x:v>
      </x:c>
      <x:c r="C123" s="95" t="str">
        <x:v>talkFirst</x:v>
      </x:c>
      <x:c r="D123" s="95" t="str">
        <x:v>apartment</x:v>
      </x:c>
      <x:c r="E123" s="95" t="str">
        <x:v>enabled</x:v>
      </x:c>
      <x:c r="F123" s="95" t="str">
        <x:v>H-APT-03</x:v>
      </x:c>
      <x:c r="G123" s="95" t="n">
        <x:v>300</x:v>
      </x:c>
      <x:c r="H123" s="95" t="n">
        <x:v>18</x:v>
      </x:c>
      <x:c r="I123" s="95" t="n">
        <x:v>7</x:v>
      </x:c>
      <x:c r="J123" s="95" t="str">
        <x:v>song-01</x:v>
      </x:c>
      <x:c r="K123" s="95" t="str">
        <x:v>song</x:v>
      </x:c>
      <x:c r="L123" s="95" t="str">
        <x:v>cosmic-drift</x:v>
      </x:c>
      <x:c r="M123" s="95" t="str">
        <x:v>campaign.radio.programProgress.H-APT-03</x:v>
      </x:c>
      <x:c r="N123" s="95" t="str">
        <x:v>tools/verify-radio-program.mjs · ordered playback receipt</x:v>
      </x:c>
    </x:row>
    <x:row r="124" ht="46" customHeight="1">
      <x:c r="A124" s="94" t="str">
        <x:v>BLOCK</x:v>
      </x:c>
      <x:c r="B124" s="94" t="str">
        <x:v>new_space_call</x:v>
      </x:c>
      <x:c r="C124" s="94" t="str">
        <x:v>talkFirst</x:v>
      </x:c>
      <x:c r="D124" s="94" t="str">
        <x:v>apartment</x:v>
      </x:c>
      <x:c r="E124" s="94" t="str">
        <x:v>enabled</x:v>
      </x:c>
      <x:c r="F124" s="94" t="str">
        <x:v>H-APT-03</x:v>
      </x:c>
      <x:c r="G124" s="94" t="n">
        <x:v>300</x:v>
      </x:c>
      <x:c r="H124" s="94" t="n">
        <x:v>18</x:v>
      </x:c>
      <x:c r="I124" s="94" t="n">
        <x:v>8</x:v>
      </x:c>
      <x:c r="J124" s="94" t="str">
        <x:v>editorial</x:v>
      </x:c>
      <x:c r="K124" s="94" t="str">
        <x:v>news</x:v>
      </x:c>
      <x:c r="L124" s="94" t="str">
        <x:v>news.segment.heist</x:v>
      </x:c>
      <x:c r="M124" s="94" t="str">
        <x:v>campaign.radio.programProgress.H-APT-03</x:v>
      </x:c>
      <x:c r="N124" s="94" t="str">
        <x:v>tools/verify-radio-program.mjs · ordered playback receipt</x:v>
      </x:c>
    </x:row>
    <x:row r="125" ht="46" customHeight="1">
      <x:c r="A125" s="95" t="str">
        <x:v>BLOCK</x:v>
      </x:c>
      <x:c r="B125" s="95" t="str">
        <x:v>new_space_call</x:v>
      </x:c>
      <x:c r="C125" s="95" t="str">
        <x:v>talkFirst</x:v>
      </x:c>
      <x:c r="D125" s="95" t="str">
        <x:v>apartment</x:v>
      </x:c>
      <x:c r="E125" s="95" t="str">
        <x:v>enabled</x:v>
      </x:c>
      <x:c r="F125" s="95" t="str">
        <x:v>H-APT-03</x:v>
      </x:c>
      <x:c r="G125" s="95" t="n">
        <x:v>300</x:v>
      </x:c>
      <x:c r="H125" s="95" t="n">
        <x:v>18</x:v>
      </x:c>
      <x:c r="I125" s="95" t="n">
        <x:v>9</x:v>
      </x:c>
      <x:c r="J125" s="95" t="str">
        <x:v>talk-05</x:v>
      </x:c>
      <x:c r="K125" s="95" t="str">
        <x:v>talk</x:v>
      </x:c>
      <x:c r="L125" s="95" t="str">
        <x:v>talk-05</x:v>
      </x:c>
      <x:c r="M125" s="95" t="str">
        <x:v>campaign.radio.programProgress.H-APT-03</x:v>
      </x:c>
      <x:c r="N125" s="95" t="str">
        <x:v>tools/verify-radio-program.mjs · ordered playback receipt</x:v>
      </x:c>
    </x:row>
    <x:row r="126" ht="46" customHeight="1">
      <x:c r="A126" s="94" t="str">
        <x:v>BLOCK</x:v>
      </x:c>
      <x:c r="B126" s="94" t="str">
        <x:v>new_space_call</x:v>
      </x:c>
      <x:c r="C126" s="94" t="str">
        <x:v>talkFirst</x:v>
      </x:c>
      <x:c r="D126" s="94" t="str">
        <x:v>apartment</x:v>
      </x:c>
      <x:c r="E126" s="94" t="str">
        <x:v>enabled</x:v>
      </x:c>
      <x:c r="F126" s="94" t="str">
        <x:v>H-APT-03</x:v>
      </x:c>
      <x:c r="G126" s="94" t="n">
        <x:v>300</x:v>
      </x:c>
      <x:c r="H126" s="94" t="n">
        <x:v>18</x:v>
      </x:c>
      <x:c r="I126" s="94" t="n">
        <x:v>10</x:v>
      </x:c>
      <x:c r="J126" s="94" t="str">
        <x:v>talk-06</x:v>
      </x:c>
      <x:c r="K126" s="94" t="str">
        <x:v>talk</x:v>
      </x:c>
      <x:c r="L126" s="94" t="str">
        <x:v>talk-06</x:v>
      </x:c>
      <x:c r="M126" s="94" t="str">
        <x:v>campaign.radio.programProgress.H-APT-03</x:v>
      </x:c>
      <x:c r="N126" s="94" t="str">
        <x:v>tools/verify-radio-program.mjs · ordered playback receipt</x:v>
      </x:c>
    </x:row>
    <x:row r="127" ht="46" customHeight="1">
      <x:c r="A127" s="95" t="str">
        <x:v>BLOCK</x:v>
      </x:c>
      <x:c r="B127" s="95" t="str">
        <x:v>new_space_call</x:v>
      </x:c>
      <x:c r="C127" s="95" t="str">
        <x:v>talkFirst</x:v>
      </x:c>
      <x:c r="D127" s="95" t="str">
        <x:v>apartment</x:v>
      </x:c>
      <x:c r="E127" s="95" t="str">
        <x:v>enabled</x:v>
      </x:c>
      <x:c r="F127" s="95" t="str">
        <x:v>H-APT-03</x:v>
      </x:c>
      <x:c r="G127" s="95" t="n">
        <x:v>300</x:v>
      </x:c>
      <x:c r="H127" s="95" t="n">
        <x:v>18</x:v>
      </x:c>
      <x:c r="I127" s="95" t="n">
        <x:v>11</x:v>
      </x:c>
      <x:c r="J127" s="95" t="str">
        <x:v>talk-07</x:v>
      </x:c>
      <x:c r="K127" s="95" t="str">
        <x:v>talk</x:v>
      </x:c>
      <x:c r="L127" s="95" t="str">
        <x:v>talk-07</x:v>
      </x:c>
      <x:c r="M127" s="95" t="str">
        <x:v>campaign.radio.programProgress.H-APT-03</x:v>
      </x:c>
      <x:c r="N127" s="95" t="str">
        <x:v>tools/verify-radio-program.mjs · ordered playback receipt</x:v>
      </x:c>
    </x:row>
    <x:row r="128" ht="46" customHeight="1">
      <x:c r="A128" s="94" t="str">
        <x:v>BLOCK</x:v>
      </x:c>
      <x:c r="B128" s="94" t="str">
        <x:v>new_space_call</x:v>
      </x:c>
      <x:c r="C128" s="94" t="str">
        <x:v>talkFirst</x:v>
      </x:c>
      <x:c r="D128" s="94" t="str">
        <x:v>apartment</x:v>
      </x:c>
      <x:c r="E128" s="94" t="str">
        <x:v>enabled</x:v>
      </x:c>
      <x:c r="F128" s="94" t="str">
        <x:v>H-APT-03</x:v>
      </x:c>
      <x:c r="G128" s="94" t="n">
        <x:v>300</x:v>
      </x:c>
      <x:c r="H128" s="94" t="n">
        <x:v>18</x:v>
      </x:c>
      <x:c r="I128" s="94" t="n">
        <x:v>12</x:v>
      </x:c>
      <x:c r="J128" s="94" t="str">
        <x:v>talk-08</x:v>
      </x:c>
      <x:c r="K128" s="94" t="str">
        <x:v>talk</x:v>
      </x:c>
      <x:c r="L128" s="94" t="str">
        <x:v>talk-08</x:v>
      </x:c>
      <x:c r="M128" s="94" t="str">
        <x:v>campaign.radio.programProgress.H-APT-03</x:v>
      </x:c>
      <x:c r="N128" s="94" t="str">
        <x:v>tools/verify-radio-program.mjs · ordered playback receipt</x:v>
      </x:c>
    </x:row>
    <x:row r="129" ht="46" customHeight="1">
      <x:c r="A129" s="95" t="str">
        <x:v>BLOCK</x:v>
      </x:c>
      <x:c r="B129" s="95" t="str">
        <x:v>new_space_call</x:v>
      </x:c>
      <x:c r="C129" s="95" t="str">
        <x:v>talkFirst</x:v>
      </x:c>
      <x:c r="D129" s="95" t="str">
        <x:v>apartment</x:v>
      </x:c>
      <x:c r="E129" s="95" t="str">
        <x:v>enabled</x:v>
      </x:c>
      <x:c r="F129" s="95" t="str">
        <x:v>H-APT-03</x:v>
      </x:c>
      <x:c r="G129" s="95" t="n">
        <x:v>300</x:v>
      </x:c>
      <x:c r="H129" s="95" t="n">
        <x:v>18</x:v>
      </x:c>
      <x:c r="I129" s="95" t="n">
        <x:v>13</x:v>
      </x:c>
      <x:c r="J129" s="95" t="str">
        <x:v>song-02</x:v>
      </x:c>
      <x:c r="K129" s="95" t="str">
        <x:v>song</x:v>
      </x:c>
      <x:c r="L129" s="95" t="str">
        <x:v>good-ole-days</x:v>
      </x:c>
      <x:c r="M129" s="95" t="str">
        <x:v>campaign.radio.programProgress.H-APT-03</x:v>
      </x:c>
      <x:c r="N129" s="95" t="str">
        <x:v>tools/verify-radio-program.mjs · ordered playback receipt</x:v>
      </x:c>
    </x:row>
    <x:row r="130" ht="46" customHeight="1">
      <x:c r="A130" s="94" t="str">
        <x:v>BLOCK</x:v>
      </x:c>
      <x:c r="B130" s="94" t="str">
        <x:v>new_space_call</x:v>
      </x:c>
      <x:c r="C130" s="94" t="str">
        <x:v>talkFirst</x:v>
      </x:c>
      <x:c r="D130" s="94" t="str">
        <x:v>apartment</x:v>
      </x:c>
      <x:c r="E130" s="94" t="str">
        <x:v>enabled</x:v>
      </x:c>
      <x:c r="F130" s="94" t="str">
        <x:v>H-APT-03</x:v>
      </x:c>
      <x:c r="G130" s="94" t="n">
        <x:v>300</x:v>
      </x:c>
      <x:c r="H130" s="94" t="n">
        <x:v>18</x:v>
      </x:c>
      <x:c r="I130" s="94" t="n">
        <x:v>14</x:v>
      </x:c>
      <x:c r="J130" s="94" t="str">
        <x:v>ad</x:v>
      </x:c>
      <x:c r="K130" s="94" t="str">
        <x:v>ad</x:v>
      </x:c>
      <x:c r="L130" s="94" t="str">
        <x:v>jerky</x:v>
      </x:c>
      <x:c r="M130" s="94" t="str">
        <x:v>campaign.radio.programProgress.H-APT-03</x:v>
      </x:c>
      <x:c r="N130" s="94" t="str">
        <x:v>tools/verify-radio-program.mjs · ordered playback receipt</x:v>
      </x:c>
    </x:row>
    <x:row r="131" ht="46" customHeight="1">
      <x:c r="A131" s="95" t="str">
        <x:v>BLOCK</x:v>
      </x:c>
      <x:c r="B131" s="95" t="str">
        <x:v>new_space_call</x:v>
      </x:c>
      <x:c r="C131" s="95" t="str">
        <x:v>talkFirst</x:v>
      </x:c>
      <x:c r="D131" s="95" t="str">
        <x:v>apartment</x:v>
      </x:c>
      <x:c r="E131" s="95" t="str">
        <x:v>enabled</x:v>
      </x:c>
      <x:c r="F131" s="95" t="str">
        <x:v>H-APT-03</x:v>
      </x:c>
      <x:c r="G131" s="95" t="n">
        <x:v>300</x:v>
      </x:c>
      <x:c r="H131" s="95" t="n">
        <x:v>18</x:v>
      </x:c>
      <x:c r="I131" s="95" t="n">
        <x:v>15</x:v>
      </x:c>
      <x:c r="J131" s="95" t="str">
        <x:v>handoff</x:v>
      </x:c>
      <x:c r="K131" s="95" t="str">
        <x:v>handoff</x:v>
      </x:c>
      <x:c r="L131" s="95" t="str">
        <x:v>handoff</x:v>
      </x:c>
      <x:c r="M131" s="95" t="str">
        <x:v>campaign.radio.programProgress.H-APT-03</x:v>
      </x:c>
      <x:c r="N131" s="95" t="str">
        <x:v>tools/verify-radio-program.mjs · ordered playback receipt</x:v>
      </x:c>
    </x:row>
    <x:row r="132" ht="46" customHeight="1">
      <x:c r="A132" s="94" t="str">
        <x:v>PROGRAM</x:v>
      </x:c>
      <x:c r="B132" s="94" t="str">
        <x:v>luxury_apartment_intro</x:v>
      </x:c>
      <x:c r="C132" s="94" t="str">
        <x:v>talkFirst</x:v>
      </x:c>
      <x:c r="D132" s="94" t="str">
        <x:v>luxury_apartment</x:v>
      </x:c>
      <x:c r="E132" s="94" t="str">
        <x:v>enabled</x:v>
      </x:c>
      <x:c r="F132" s="94" t="str">
        <x:v>H-LUX-01</x:v>
      </x:c>
      <x:c r="G132" s="94" t="n">
        <x:v>300</x:v>
      </x:c>
      <x:c r="H132" s="94" t="n">
        <x:v>12</x:v>
      </x:c>
      <x:c r="I132" s="94" t="str"/>
      <x:c r="J132" s="94" t="str"/>
      <x:c r="K132" s="94" t="str"/>
      <x:c r="L132" s="94" t="str"/>
      <x:c r="M132" s="94" t="str">
        <x:v>campaign.radio.programProgress.H-LUX-01</x:v>
      </x:c>
      <x:c r="N132" s="94" t="str">
        <x:v>src/core/radio-program.js · RADIO_PROGRAMS</x:v>
      </x:c>
    </x:row>
    <x:row r="133" ht="46" customHeight="1">
      <x:c r="A133" s="95" t="str">
        <x:v>BLOCK</x:v>
      </x:c>
      <x:c r="B133" s="95" t="str">
        <x:v>luxury_apartment_intro</x:v>
      </x:c>
      <x:c r="C133" s="95" t="str">
        <x:v>talkFirst</x:v>
      </x:c>
      <x:c r="D133" s="95" t="str">
        <x:v>luxury_apartment</x:v>
      </x:c>
      <x:c r="E133" s="95" t="str">
        <x:v>enabled</x:v>
      </x:c>
      <x:c r="F133" s="95" t="str">
        <x:v>H-LUX-01</x:v>
      </x:c>
      <x:c r="G133" s="95" t="n">
        <x:v>300</x:v>
      </x:c>
      <x:c r="H133" s="95" t="n">
        <x:v>12</x:v>
      </x:c>
      <x:c r="I133" s="95" t="n">
        <x:v>1</x:v>
      </x:c>
      <x:c r="J133" s="95" t="str">
        <x:v>ident</x:v>
      </x:c>
      <x:c r="K133" s="95" t="str">
        <x:v>ident</x:v>
      </x:c>
      <x:c r="L133" s="95" t="str">
        <x:v>ident</x:v>
      </x:c>
      <x:c r="M133" s="95" t="str">
        <x:v>campaign.radio.programProgress.H-LUX-01</x:v>
      </x:c>
      <x:c r="N133" s="95" t="str">
        <x:v>tools/verify-radio-program.mjs · ordered playback receipt</x:v>
      </x:c>
    </x:row>
    <x:row r="134" ht="46" customHeight="1">
      <x:c r="A134" s="94" t="str">
        <x:v>BLOCK</x:v>
      </x:c>
      <x:c r="B134" s="94" t="str">
        <x:v>luxury_apartment_intro</x:v>
      </x:c>
      <x:c r="C134" s="94" t="str">
        <x:v>talkFirst</x:v>
      </x:c>
      <x:c r="D134" s="94" t="str">
        <x:v>luxury_apartment</x:v>
      </x:c>
      <x:c r="E134" s="94" t="str">
        <x:v>enabled</x:v>
      </x:c>
      <x:c r="F134" s="94" t="str">
        <x:v>H-LUX-01</x:v>
      </x:c>
      <x:c r="G134" s="94" t="n">
        <x:v>300</x:v>
      </x:c>
      <x:c r="H134" s="94" t="n">
        <x:v>12</x:v>
      </x:c>
      <x:c r="I134" s="94" t="n">
        <x:v>2</x:v>
      </x:c>
      <x:c r="J134" s="94" t="str">
        <x:v>show-intro</x:v>
      </x:c>
      <x:c r="K134" s="94" t="str">
        <x:v>showIntro</x:v>
      </x:c>
      <x:c r="L134" s="94" t="str">
        <x:v>show-intro</x:v>
      </x:c>
      <x:c r="M134" s="94" t="str">
        <x:v>campaign.radio.programProgress.H-LUX-01</x:v>
      </x:c>
      <x:c r="N134" s="94" t="str">
        <x:v>tools/verify-radio-program.mjs · ordered playback receipt</x:v>
      </x:c>
    </x:row>
    <x:row r="135" ht="46" customHeight="1">
      <x:c r="A135" s="95" t="str">
        <x:v>BLOCK</x:v>
      </x:c>
      <x:c r="B135" s="95" t="str">
        <x:v>luxury_apartment_intro</x:v>
      </x:c>
      <x:c r="C135" s="95" t="str">
        <x:v>talkFirst</x:v>
      </x:c>
      <x:c r="D135" s="95" t="str">
        <x:v>luxury_apartment</x:v>
      </x:c>
      <x:c r="E135" s="95" t="str">
        <x:v>enabled</x:v>
      </x:c>
      <x:c r="F135" s="95" t="str">
        <x:v>H-LUX-01</x:v>
      </x:c>
      <x:c r="G135" s="95" t="n">
        <x:v>300</x:v>
      </x:c>
      <x:c r="H135" s="95" t="n">
        <x:v>12</x:v>
      </x:c>
      <x:c r="I135" s="95" t="n">
        <x:v>3</x:v>
      </x:c>
      <x:c r="J135" s="95" t="str">
        <x:v>talk-01</x:v>
      </x:c>
      <x:c r="K135" s="95" t="str">
        <x:v>talk</x:v>
      </x:c>
      <x:c r="L135" s="95" t="str">
        <x:v>talk-01</x:v>
      </x:c>
      <x:c r="M135" s="95" t="str">
        <x:v>campaign.radio.programProgress.H-LUX-01</x:v>
      </x:c>
      <x:c r="N135" s="95" t="str">
        <x:v>tools/verify-radio-program.mjs · ordered playback receipt</x:v>
      </x:c>
    </x:row>
    <x:row r="136" ht="46" customHeight="1">
      <x:c r="A136" s="94" t="str">
        <x:v>BLOCK</x:v>
      </x:c>
      <x:c r="B136" s="94" t="str">
        <x:v>luxury_apartment_intro</x:v>
      </x:c>
      <x:c r="C136" s="94" t="str">
        <x:v>talkFirst</x:v>
      </x:c>
      <x:c r="D136" s="94" t="str">
        <x:v>luxury_apartment</x:v>
      </x:c>
      <x:c r="E136" s="94" t="str">
        <x:v>enabled</x:v>
      </x:c>
      <x:c r="F136" s="94" t="str">
        <x:v>H-LUX-01</x:v>
      </x:c>
      <x:c r="G136" s="94" t="n">
        <x:v>300</x:v>
      </x:c>
      <x:c r="H136" s="94" t="n">
        <x:v>12</x:v>
      </x:c>
      <x:c r="I136" s="94" t="n">
        <x:v>4</x:v>
      </x:c>
      <x:c r="J136" s="94" t="str">
        <x:v>talk-02</x:v>
      </x:c>
      <x:c r="K136" s="94" t="str">
        <x:v>talk</x:v>
      </x:c>
      <x:c r="L136" s="94" t="str">
        <x:v>talk-02</x:v>
      </x:c>
      <x:c r="M136" s="94" t="str">
        <x:v>campaign.radio.programProgress.H-LUX-01</x:v>
      </x:c>
      <x:c r="N136" s="94" t="str">
        <x:v>tools/verify-radio-program.mjs · ordered playback receipt</x:v>
      </x:c>
    </x:row>
    <x:row r="137" ht="46" customHeight="1">
      <x:c r="A137" s="95" t="str">
        <x:v>BLOCK</x:v>
      </x:c>
      <x:c r="B137" s="95" t="str">
        <x:v>luxury_apartment_intro</x:v>
      </x:c>
      <x:c r="C137" s="95" t="str">
        <x:v>talkFirst</x:v>
      </x:c>
      <x:c r="D137" s="95" t="str">
        <x:v>luxury_apartment</x:v>
      </x:c>
      <x:c r="E137" s="95" t="str">
        <x:v>enabled</x:v>
      </x:c>
      <x:c r="F137" s="95" t="str">
        <x:v>H-LUX-01</x:v>
      </x:c>
      <x:c r="G137" s="95" t="n">
        <x:v>300</x:v>
      </x:c>
      <x:c r="H137" s="95" t="n">
        <x:v>12</x:v>
      </x:c>
      <x:c r="I137" s="95" t="n">
        <x:v>5</x:v>
      </x:c>
      <x:c r="J137" s="95" t="str">
        <x:v>talk-03</x:v>
      </x:c>
      <x:c r="K137" s="95" t="str">
        <x:v>talk</x:v>
      </x:c>
      <x:c r="L137" s="95" t="str">
        <x:v>talk-03</x:v>
      </x:c>
      <x:c r="M137" s="95" t="str">
        <x:v>campaign.radio.programProgress.H-LUX-01</x:v>
      </x:c>
      <x:c r="N137" s="95" t="str">
        <x:v>tools/verify-radio-program.mjs · ordered playback receipt</x:v>
      </x:c>
    </x:row>
    <x:row r="138" ht="46" customHeight="1">
      <x:c r="A138" s="94" t="str">
        <x:v>BLOCK</x:v>
      </x:c>
      <x:c r="B138" s="94" t="str">
        <x:v>luxury_apartment_intro</x:v>
      </x:c>
      <x:c r="C138" s="94" t="str">
        <x:v>talkFirst</x:v>
      </x:c>
      <x:c r="D138" s="94" t="str">
        <x:v>luxury_apartment</x:v>
      </x:c>
      <x:c r="E138" s="94" t="str">
        <x:v>enabled</x:v>
      </x:c>
      <x:c r="F138" s="94" t="str">
        <x:v>H-LUX-01</x:v>
      </x:c>
      <x:c r="G138" s="94" t="n">
        <x:v>300</x:v>
      </x:c>
      <x:c r="H138" s="94" t="n">
        <x:v>12</x:v>
      </x:c>
      <x:c r="I138" s="94" t="n">
        <x:v>6</x:v>
      </x:c>
      <x:c r="J138" s="94" t="str">
        <x:v>talk-04</x:v>
      </x:c>
      <x:c r="K138" s="94" t="str">
        <x:v>talk</x:v>
      </x:c>
      <x:c r="L138" s="94" t="str">
        <x:v>talk-04</x:v>
      </x:c>
      <x:c r="M138" s="94" t="str">
        <x:v>campaign.radio.programProgress.H-LUX-01</x:v>
      </x:c>
      <x:c r="N138" s="94" t="str">
        <x:v>tools/verify-radio-program.mjs · ordered playback receipt</x:v>
      </x:c>
    </x:row>
    <x:row r="139" ht="46" customHeight="1">
      <x:c r="A139" s="95" t="str">
        <x:v>BLOCK</x:v>
      </x:c>
      <x:c r="B139" s="95" t="str">
        <x:v>luxury_apartment_intro</x:v>
      </x:c>
      <x:c r="C139" s="95" t="str">
        <x:v>talkFirst</x:v>
      </x:c>
      <x:c r="D139" s="95" t="str">
        <x:v>luxury_apartment</x:v>
      </x:c>
      <x:c r="E139" s="95" t="str">
        <x:v>enabled</x:v>
      </x:c>
      <x:c r="F139" s="95" t="str">
        <x:v>H-LUX-01</x:v>
      </x:c>
      <x:c r="G139" s="95" t="n">
        <x:v>300</x:v>
      </x:c>
      <x:c r="H139" s="95" t="n">
        <x:v>12</x:v>
      </x:c>
      <x:c r="I139" s="95" t="n">
        <x:v>7</x:v>
      </x:c>
      <x:c r="J139" s="95" t="str">
        <x:v>song-01</x:v>
      </x:c>
      <x:c r="K139" s="95" t="str">
        <x:v>song</x:v>
      </x:c>
      <x:c r="L139" s="95" t="str">
        <x:v>good-ole-days</x:v>
      </x:c>
      <x:c r="M139" s="95" t="str">
        <x:v>campaign.radio.programProgress.H-LUX-01</x:v>
      </x:c>
      <x:c r="N139" s="95" t="str">
        <x:v>tools/verify-radio-program.mjs · ordered playback receipt</x:v>
      </x:c>
    </x:row>
    <x:row r="140" ht="46" customHeight="1">
      <x:c r="A140" s="94" t="str">
        <x:v>BLOCK</x:v>
      </x:c>
      <x:c r="B140" s="94" t="str">
        <x:v>luxury_apartment_intro</x:v>
      </x:c>
      <x:c r="C140" s="94" t="str">
        <x:v>talkFirst</x:v>
      </x:c>
      <x:c r="D140" s="94" t="str">
        <x:v>luxury_apartment</x:v>
      </x:c>
      <x:c r="E140" s="94" t="str">
        <x:v>enabled</x:v>
      </x:c>
      <x:c r="F140" s="94" t="str">
        <x:v>H-LUX-01</x:v>
      </x:c>
      <x:c r="G140" s="94" t="n">
        <x:v>300</x:v>
      </x:c>
      <x:c r="H140" s="94" t="n">
        <x:v>12</x:v>
      </x:c>
      <x:c r="I140" s="94" t="n">
        <x:v>8</x:v>
      </x:c>
      <x:c r="J140" s="94" t="str">
        <x:v>editorial</x:v>
      </x:c>
      <x:c r="K140" s="94" t="str">
        <x:v>link</x:v>
      </x:c>
      <x:c r="L140" s="94" t="str">
        <x:v>editorial</x:v>
      </x:c>
      <x:c r="M140" s="94" t="str">
        <x:v>campaign.radio.programProgress.H-LUX-01</x:v>
      </x:c>
      <x:c r="N140" s="94" t="str">
        <x:v>tools/verify-radio-program.mjs · ordered playback receipt</x:v>
      </x:c>
    </x:row>
    <x:row r="141" ht="46" customHeight="1">
      <x:c r="A141" s="95" t="str">
        <x:v>BLOCK</x:v>
      </x:c>
      <x:c r="B141" s="95" t="str">
        <x:v>luxury_apartment_intro</x:v>
      </x:c>
      <x:c r="C141" s="95" t="str">
        <x:v>talkFirst</x:v>
      </x:c>
      <x:c r="D141" s="95" t="str">
        <x:v>luxury_apartment</x:v>
      </x:c>
      <x:c r="E141" s="95" t="str">
        <x:v>enabled</x:v>
      </x:c>
      <x:c r="F141" s="95" t="str">
        <x:v>H-LUX-01</x:v>
      </x:c>
      <x:c r="G141" s="95" t="n">
        <x:v>300</x:v>
      </x:c>
      <x:c r="H141" s="95" t="n">
        <x:v>12</x:v>
      </x:c>
      <x:c r="I141" s="95" t="n">
        <x:v>9</x:v>
      </x:c>
      <x:c r="J141" s="95" t="str">
        <x:v>talk-05</x:v>
      </x:c>
      <x:c r="K141" s="95" t="str">
        <x:v>talk</x:v>
      </x:c>
      <x:c r="L141" s="95" t="str">
        <x:v>talk-05</x:v>
      </x:c>
      <x:c r="M141" s="95" t="str">
        <x:v>campaign.radio.programProgress.H-LUX-01</x:v>
      </x:c>
      <x:c r="N141" s="95" t="str">
        <x:v>tools/verify-radio-program.mjs · ordered playback receipt</x:v>
      </x:c>
    </x:row>
    <x:row r="142" ht="46" customHeight="1">
      <x:c r="A142" s="94" t="str">
        <x:v>BLOCK</x:v>
      </x:c>
      <x:c r="B142" s="94" t="str">
        <x:v>luxury_apartment_intro</x:v>
      </x:c>
      <x:c r="C142" s="94" t="str">
        <x:v>talkFirst</x:v>
      </x:c>
      <x:c r="D142" s="94" t="str">
        <x:v>luxury_apartment</x:v>
      </x:c>
      <x:c r="E142" s="94" t="str">
        <x:v>enabled</x:v>
      </x:c>
      <x:c r="F142" s="94" t="str">
        <x:v>H-LUX-01</x:v>
      </x:c>
      <x:c r="G142" s="94" t="n">
        <x:v>300</x:v>
      </x:c>
      <x:c r="H142" s="94" t="n">
        <x:v>12</x:v>
      </x:c>
      <x:c r="I142" s="94" t="n">
        <x:v>10</x:v>
      </x:c>
      <x:c r="J142" s="94" t="str">
        <x:v>talk-06</x:v>
      </x:c>
      <x:c r="K142" s="94" t="str">
        <x:v>talk</x:v>
      </x:c>
      <x:c r="L142" s="94" t="str">
        <x:v>talk-06</x:v>
      </x:c>
      <x:c r="M142" s="94" t="str">
        <x:v>campaign.radio.programProgress.H-LUX-01</x:v>
      </x:c>
      <x:c r="N142" s="94" t="str">
        <x:v>tools/verify-radio-program.mjs · ordered playback receipt</x:v>
      </x:c>
    </x:row>
    <x:row r="143" ht="46" customHeight="1">
      <x:c r="A143" s="95" t="str">
        <x:v>BLOCK</x:v>
      </x:c>
      <x:c r="B143" s="95" t="str">
        <x:v>luxury_apartment_intro</x:v>
      </x:c>
      <x:c r="C143" s="95" t="str">
        <x:v>talkFirst</x:v>
      </x:c>
      <x:c r="D143" s="95" t="str">
        <x:v>luxury_apartment</x:v>
      </x:c>
      <x:c r="E143" s="95" t="str">
        <x:v>enabled</x:v>
      </x:c>
      <x:c r="F143" s="95" t="str">
        <x:v>H-LUX-01</x:v>
      </x:c>
      <x:c r="G143" s="95" t="n">
        <x:v>300</x:v>
      </x:c>
      <x:c r="H143" s="95" t="n">
        <x:v>12</x:v>
      </x:c>
      <x:c r="I143" s="95" t="n">
        <x:v>11</x:v>
      </x:c>
      <x:c r="J143" s="95" t="str">
        <x:v>talk-07</x:v>
      </x:c>
      <x:c r="K143" s="95" t="str">
        <x:v>talk</x:v>
      </x:c>
      <x:c r="L143" s="95" t="str">
        <x:v>talk-07</x:v>
      </x:c>
      <x:c r="M143" s="95" t="str">
        <x:v>campaign.radio.programProgress.H-LUX-01</x:v>
      </x:c>
      <x:c r="N143" s="95" t="str">
        <x:v>tools/verify-radio-program.mjs · ordered playback receipt</x:v>
      </x:c>
    </x:row>
    <x:row r="144" ht="46" customHeight="1">
      <x:c r="A144" s="94" t="str">
        <x:v>BLOCK</x:v>
      </x:c>
      <x:c r="B144" s="94" t="str">
        <x:v>luxury_apartment_intro</x:v>
      </x:c>
      <x:c r="C144" s="94" t="str">
        <x:v>talkFirst</x:v>
      </x:c>
      <x:c r="D144" s="94" t="str">
        <x:v>luxury_apartment</x:v>
      </x:c>
      <x:c r="E144" s="94" t="str">
        <x:v>enabled</x:v>
      </x:c>
      <x:c r="F144" s="94" t="str">
        <x:v>H-LUX-01</x:v>
      </x:c>
      <x:c r="G144" s="94" t="n">
        <x:v>300</x:v>
      </x:c>
      <x:c r="H144" s="94" t="n">
        <x:v>12</x:v>
      </x:c>
      <x:c r="I144" s="94" t="n">
        <x:v>12</x:v>
      </x:c>
      <x:c r="J144" s="94" t="str">
        <x:v>talk-08</x:v>
      </x:c>
      <x:c r="K144" s="94" t="str">
        <x:v>talk</x:v>
      </x:c>
      <x:c r="L144" s="94" t="str">
        <x:v>talk-08</x:v>
      </x:c>
      <x:c r="M144" s="94" t="str">
        <x:v>campaign.radio.programProgress.H-LUX-01</x:v>
      </x:c>
      <x:c r="N144" s="94" t="str">
        <x:v>tools/verify-radio-program.mjs · ordered playback receipt</x:v>
      </x:c>
    </x:row>
    <x:row r="145" ht="46" customHeight="1">
      <x:c r="A145" s="95" t="str">
        <x:v>BLOCK</x:v>
      </x:c>
      <x:c r="B145" s="95" t="str">
        <x:v>luxury_apartment_intro</x:v>
      </x:c>
      <x:c r="C145" s="95" t="str">
        <x:v>talkFirst</x:v>
      </x:c>
      <x:c r="D145" s="95" t="str">
        <x:v>luxury_apartment</x:v>
      </x:c>
      <x:c r="E145" s="95" t="str">
        <x:v>enabled</x:v>
      </x:c>
      <x:c r="F145" s="95" t="str">
        <x:v>H-LUX-01</x:v>
      </x:c>
      <x:c r="G145" s="95" t="n">
        <x:v>300</x:v>
      </x:c>
      <x:c r="H145" s="95" t="n">
        <x:v>12</x:v>
      </x:c>
      <x:c r="I145" s="95" t="n">
        <x:v>13</x:v>
      </x:c>
      <x:c r="J145" s="95" t="str">
        <x:v>song-02</x:v>
      </x:c>
      <x:c r="K145" s="95" t="str">
        <x:v>song</x:v>
      </x:c>
      <x:c r="L145" s="95" t="str">
        <x:v>cosmic-drift</x:v>
      </x:c>
      <x:c r="M145" s="95" t="str">
        <x:v>campaign.radio.programProgress.H-LUX-01</x:v>
      </x:c>
      <x:c r="N145" s="95" t="str">
        <x:v>tools/verify-radio-program.mjs · ordered playback receipt</x:v>
      </x:c>
    </x:row>
    <x:row r="146" ht="46" customHeight="1">
      <x:c r="A146" s="94" t="str">
        <x:v>BLOCK</x:v>
      </x:c>
      <x:c r="B146" s="94" t="str">
        <x:v>luxury_apartment_intro</x:v>
      </x:c>
      <x:c r="C146" s="94" t="str">
        <x:v>talkFirst</x:v>
      </x:c>
      <x:c r="D146" s="94" t="str">
        <x:v>luxury_apartment</x:v>
      </x:c>
      <x:c r="E146" s="94" t="str">
        <x:v>enabled</x:v>
      </x:c>
      <x:c r="F146" s="94" t="str">
        <x:v>H-LUX-01</x:v>
      </x:c>
      <x:c r="G146" s="94" t="n">
        <x:v>300</x:v>
      </x:c>
      <x:c r="H146" s="94" t="n">
        <x:v>12</x:v>
      </x:c>
      <x:c r="I146" s="94" t="n">
        <x:v>14</x:v>
      </x:c>
      <x:c r="J146" s="94" t="str">
        <x:v>ad</x:v>
      </x:c>
      <x:c r="K146" s="94" t="str">
        <x:v>ad</x:v>
      </x:c>
      <x:c r="L146" s="94" t="str">
        <x:v>station.morning</x:v>
      </x:c>
      <x:c r="M146" s="94" t="str">
        <x:v>campaign.radio.programProgress.H-LUX-01</x:v>
      </x:c>
      <x:c r="N146" s="94" t="str">
        <x:v>tools/verify-radio-program.mjs · ordered playback receipt</x:v>
      </x:c>
    </x:row>
    <x:row r="147" ht="46" customHeight="1">
      <x:c r="A147" s="95" t="str">
        <x:v>BLOCK</x:v>
      </x:c>
      <x:c r="B147" s="95" t="str">
        <x:v>luxury_apartment_intro</x:v>
      </x:c>
      <x:c r="C147" s="95" t="str">
        <x:v>talkFirst</x:v>
      </x:c>
      <x:c r="D147" s="95" t="str">
        <x:v>luxury_apartment</x:v>
      </x:c>
      <x:c r="E147" s="95" t="str">
        <x:v>enabled</x:v>
      </x:c>
      <x:c r="F147" s="95" t="str">
        <x:v>H-LUX-01</x:v>
      </x:c>
      <x:c r="G147" s="95" t="n">
        <x:v>300</x:v>
      </x:c>
      <x:c r="H147" s="95" t="n">
        <x:v>12</x:v>
      </x:c>
      <x:c r="I147" s="95" t="n">
        <x:v>15</x:v>
      </x:c>
      <x:c r="J147" s="95" t="str">
        <x:v>handoff</x:v>
      </x:c>
      <x:c r="K147" s="95" t="str">
        <x:v>handoff</x:v>
      </x:c>
      <x:c r="L147" s="95" t="str">
        <x:v>handoff</x:v>
      </x:c>
      <x:c r="M147" s="95" t="str">
        <x:v>campaign.radio.programProgress.H-LUX-01</x:v>
      </x:c>
      <x:c r="N147" s="95" t="str">
        <x:v>tools/verify-radio-program.mjs · ordered playback receipt</x:v>
      </x:c>
    </x:row>
    <x:row r="148" ht="46" customHeight="1">
      <x:c r="A148" s="94" t="str">
        <x:v>PROGRAM</x:v>
      </x:c>
      <x:c r="B148" s="94" t="str">
        <x:v>margo_stayover</x:v>
      </x:c>
      <x:c r="C148" s="94" t="str">
        <x:v>talkFirst</x:v>
      </x:c>
      <x:c r="D148" s="94" t="str">
        <x:v>luxury_apartment</x:v>
      </x:c>
      <x:c r="E148" s="94" t="str">
        <x:v>enabled</x:v>
      </x:c>
      <x:c r="F148" s="94" t="str">
        <x:v>H-LUX-02</x:v>
      </x:c>
      <x:c r="G148" s="94" t="n">
        <x:v>300</x:v>
      </x:c>
      <x:c r="H148" s="94" t="n">
        <x:v>23</x:v>
      </x:c>
      <x:c r="I148" s="94" t="str"/>
      <x:c r="J148" s="94" t="str"/>
      <x:c r="K148" s="94" t="str"/>
      <x:c r="L148" s="94" t="str"/>
      <x:c r="M148" s="94" t="str">
        <x:v>campaign.radio.programProgress.H-LUX-02</x:v>
      </x:c>
      <x:c r="N148" s="94" t="str">
        <x:v>src/core/radio-program.js · RADIO_PROGRAMS</x:v>
      </x:c>
    </x:row>
    <x:row r="149" ht="46" customHeight="1">
      <x:c r="A149" s="95" t="str">
        <x:v>BLOCK</x:v>
      </x:c>
      <x:c r="B149" s="95" t="str">
        <x:v>margo_stayover</x:v>
      </x:c>
      <x:c r="C149" s="95" t="str">
        <x:v>talkFirst</x:v>
      </x:c>
      <x:c r="D149" s="95" t="str">
        <x:v>luxury_apartment</x:v>
      </x:c>
      <x:c r="E149" s="95" t="str">
        <x:v>enabled</x:v>
      </x:c>
      <x:c r="F149" s="95" t="str">
        <x:v>H-LUX-02</x:v>
      </x:c>
      <x:c r="G149" s="95" t="n">
        <x:v>300</x:v>
      </x:c>
      <x:c r="H149" s="95" t="n">
        <x:v>23</x:v>
      </x:c>
      <x:c r="I149" s="95" t="n">
        <x:v>1</x:v>
      </x:c>
      <x:c r="J149" s="95" t="str">
        <x:v>ident</x:v>
      </x:c>
      <x:c r="K149" s="95" t="str">
        <x:v>ident</x:v>
      </x:c>
      <x:c r="L149" s="95" t="str">
        <x:v>ident</x:v>
      </x:c>
      <x:c r="M149" s="95" t="str">
        <x:v>campaign.radio.programProgress.H-LUX-02</x:v>
      </x:c>
      <x:c r="N149" s="95" t="str">
        <x:v>tools/verify-radio-program.mjs · ordered playback receipt</x:v>
      </x:c>
    </x:row>
    <x:row r="150" ht="46" customHeight="1">
      <x:c r="A150" s="94" t="str">
        <x:v>BLOCK</x:v>
      </x:c>
      <x:c r="B150" s="94" t="str">
        <x:v>margo_stayover</x:v>
      </x:c>
      <x:c r="C150" s="94" t="str">
        <x:v>talkFirst</x:v>
      </x:c>
      <x:c r="D150" s="94" t="str">
        <x:v>luxury_apartment</x:v>
      </x:c>
      <x:c r="E150" s="94" t="str">
        <x:v>enabled</x:v>
      </x:c>
      <x:c r="F150" s="94" t="str">
        <x:v>H-LUX-02</x:v>
      </x:c>
      <x:c r="G150" s="94" t="n">
        <x:v>300</x:v>
      </x:c>
      <x:c r="H150" s="94" t="n">
        <x:v>23</x:v>
      </x:c>
      <x:c r="I150" s="94" t="n">
        <x:v>2</x:v>
      </x:c>
      <x:c r="J150" s="94" t="str">
        <x:v>show-intro</x:v>
      </x:c>
      <x:c r="K150" s="94" t="str">
        <x:v>showIntro</x:v>
      </x:c>
      <x:c r="L150" s="94" t="str">
        <x:v>show-intro</x:v>
      </x:c>
      <x:c r="M150" s="94" t="str">
        <x:v>campaign.radio.programProgress.H-LUX-02</x:v>
      </x:c>
      <x:c r="N150" s="94" t="str">
        <x:v>tools/verify-radio-program.mjs · ordered playback receipt</x:v>
      </x:c>
    </x:row>
    <x:row r="151" ht="46" customHeight="1">
      <x:c r="A151" s="95" t="str">
        <x:v>BLOCK</x:v>
      </x:c>
      <x:c r="B151" s="95" t="str">
        <x:v>margo_stayover</x:v>
      </x:c>
      <x:c r="C151" s="95" t="str">
        <x:v>talkFirst</x:v>
      </x:c>
      <x:c r="D151" s="95" t="str">
        <x:v>luxury_apartment</x:v>
      </x:c>
      <x:c r="E151" s="95" t="str">
        <x:v>enabled</x:v>
      </x:c>
      <x:c r="F151" s="95" t="str">
        <x:v>H-LUX-02</x:v>
      </x:c>
      <x:c r="G151" s="95" t="n">
        <x:v>300</x:v>
      </x:c>
      <x:c r="H151" s="95" t="n">
        <x:v>23</x:v>
      </x:c>
      <x:c r="I151" s="95" t="n">
        <x:v>3</x:v>
      </x:c>
      <x:c r="J151" s="95" t="str">
        <x:v>talk-01</x:v>
      </x:c>
      <x:c r="K151" s="95" t="str">
        <x:v>talk</x:v>
      </x:c>
      <x:c r="L151" s="95" t="str">
        <x:v>talk-01</x:v>
      </x:c>
      <x:c r="M151" s="95" t="str">
        <x:v>campaign.radio.programProgress.H-LUX-02</x:v>
      </x:c>
      <x:c r="N151" s="95" t="str">
        <x:v>tools/verify-radio-program.mjs · ordered playback receipt</x:v>
      </x:c>
    </x:row>
    <x:row r="152" ht="46" customHeight="1">
      <x:c r="A152" s="94" t="str">
        <x:v>BLOCK</x:v>
      </x:c>
      <x:c r="B152" s="94" t="str">
        <x:v>margo_stayover</x:v>
      </x:c>
      <x:c r="C152" s="94" t="str">
        <x:v>talkFirst</x:v>
      </x:c>
      <x:c r="D152" s="94" t="str">
        <x:v>luxury_apartment</x:v>
      </x:c>
      <x:c r="E152" s="94" t="str">
        <x:v>enabled</x:v>
      </x:c>
      <x:c r="F152" s="94" t="str">
        <x:v>H-LUX-02</x:v>
      </x:c>
      <x:c r="G152" s="94" t="n">
        <x:v>300</x:v>
      </x:c>
      <x:c r="H152" s="94" t="n">
        <x:v>23</x:v>
      </x:c>
      <x:c r="I152" s="94" t="n">
        <x:v>4</x:v>
      </x:c>
      <x:c r="J152" s="94" t="str">
        <x:v>talk-02</x:v>
      </x:c>
      <x:c r="K152" s="94" t="str">
        <x:v>talk</x:v>
      </x:c>
      <x:c r="L152" s="94" t="str">
        <x:v>talk-02</x:v>
      </x:c>
      <x:c r="M152" s="94" t="str">
        <x:v>campaign.radio.programProgress.H-LUX-02</x:v>
      </x:c>
      <x:c r="N152" s="94" t="str">
        <x:v>tools/verify-radio-program.mjs · ordered playback receipt</x:v>
      </x:c>
    </x:row>
    <x:row r="153" ht="46" customHeight="1">
      <x:c r="A153" s="95" t="str">
        <x:v>BLOCK</x:v>
      </x:c>
      <x:c r="B153" s="95" t="str">
        <x:v>margo_stayover</x:v>
      </x:c>
      <x:c r="C153" s="95" t="str">
        <x:v>talkFirst</x:v>
      </x:c>
      <x:c r="D153" s="95" t="str">
        <x:v>luxury_apartment</x:v>
      </x:c>
      <x:c r="E153" s="95" t="str">
        <x:v>enabled</x:v>
      </x:c>
      <x:c r="F153" s="95" t="str">
        <x:v>H-LUX-02</x:v>
      </x:c>
      <x:c r="G153" s="95" t="n">
        <x:v>300</x:v>
      </x:c>
      <x:c r="H153" s="95" t="n">
        <x:v>23</x:v>
      </x:c>
      <x:c r="I153" s="95" t="n">
        <x:v>5</x:v>
      </x:c>
      <x:c r="J153" s="95" t="str">
        <x:v>talk-03</x:v>
      </x:c>
      <x:c r="K153" s="95" t="str">
        <x:v>talk</x:v>
      </x:c>
      <x:c r="L153" s="95" t="str">
        <x:v>talk-03</x:v>
      </x:c>
      <x:c r="M153" s="95" t="str">
        <x:v>campaign.radio.programProgress.H-LUX-02</x:v>
      </x:c>
      <x:c r="N153" s="95" t="str">
        <x:v>tools/verify-radio-program.mjs · ordered playback receipt</x:v>
      </x:c>
    </x:row>
    <x:row r="154" ht="46" customHeight="1">
      <x:c r="A154" s="94" t="str">
        <x:v>BLOCK</x:v>
      </x:c>
      <x:c r="B154" s="94" t="str">
        <x:v>margo_stayover</x:v>
      </x:c>
      <x:c r="C154" s="94" t="str">
        <x:v>talkFirst</x:v>
      </x:c>
      <x:c r="D154" s="94" t="str">
        <x:v>luxury_apartment</x:v>
      </x:c>
      <x:c r="E154" s="94" t="str">
        <x:v>enabled</x:v>
      </x:c>
      <x:c r="F154" s="94" t="str">
        <x:v>H-LUX-02</x:v>
      </x:c>
      <x:c r="G154" s="94" t="n">
        <x:v>300</x:v>
      </x:c>
      <x:c r="H154" s="94" t="n">
        <x:v>23</x:v>
      </x:c>
      <x:c r="I154" s="94" t="n">
        <x:v>6</x:v>
      </x:c>
      <x:c r="J154" s="94" t="str">
        <x:v>talk-04</x:v>
      </x:c>
      <x:c r="K154" s="94" t="str">
        <x:v>talk</x:v>
      </x:c>
      <x:c r="L154" s="94" t="str">
        <x:v>talk-04</x:v>
      </x:c>
      <x:c r="M154" s="94" t="str">
        <x:v>campaign.radio.programProgress.H-LUX-02</x:v>
      </x:c>
      <x:c r="N154" s="94" t="str">
        <x:v>tools/verify-radio-program.mjs · ordered playback receipt</x:v>
      </x:c>
    </x:row>
    <x:row r="155" ht="46" customHeight="1">
      <x:c r="A155" s="95" t="str">
        <x:v>BLOCK</x:v>
      </x:c>
      <x:c r="B155" s="95" t="str">
        <x:v>margo_stayover</x:v>
      </x:c>
      <x:c r="C155" s="95" t="str">
        <x:v>talkFirst</x:v>
      </x:c>
      <x:c r="D155" s="95" t="str">
        <x:v>luxury_apartment</x:v>
      </x:c>
      <x:c r="E155" s="95" t="str">
        <x:v>enabled</x:v>
      </x:c>
      <x:c r="F155" s="95" t="str">
        <x:v>H-LUX-02</x:v>
      </x:c>
      <x:c r="G155" s="95" t="n">
        <x:v>300</x:v>
      </x:c>
      <x:c r="H155" s="95" t="n">
        <x:v>23</x:v>
      </x:c>
      <x:c r="I155" s="95" t="n">
        <x:v>7</x:v>
      </x:c>
      <x:c r="J155" s="95" t="str">
        <x:v>song-01</x:v>
      </x:c>
      <x:c r="K155" s="95" t="str">
        <x:v>song</x:v>
      </x:c>
      <x:c r="L155" s="95" t="str">
        <x:v>through-the-night</x:v>
      </x:c>
      <x:c r="M155" s="95" t="str">
        <x:v>campaign.radio.programProgress.H-LUX-02</x:v>
      </x:c>
      <x:c r="N155" s="95" t="str">
        <x:v>tools/verify-radio-program.mjs · ordered playback receipt</x:v>
      </x:c>
    </x:row>
    <x:row r="156" ht="46" customHeight="1">
      <x:c r="A156" s="94" t="str">
        <x:v>BLOCK</x:v>
      </x:c>
      <x:c r="B156" s="94" t="str">
        <x:v>margo_stayover</x:v>
      </x:c>
      <x:c r="C156" s="94" t="str">
        <x:v>talkFirst</x:v>
      </x:c>
      <x:c r="D156" s="94" t="str">
        <x:v>luxury_apartment</x:v>
      </x:c>
      <x:c r="E156" s="94" t="str">
        <x:v>enabled</x:v>
      </x:c>
      <x:c r="F156" s="94" t="str">
        <x:v>H-LUX-02</x:v>
      </x:c>
      <x:c r="G156" s="94" t="n">
        <x:v>300</x:v>
      </x:c>
      <x:c r="H156" s="94" t="n">
        <x:v>23</x:v>
      </x:c>
      <x:c r="I156" s="94" t="n">
        <x:v>8</x:v>
      </x:c>
      <x:c r="J156" s="94" t="str">
        <x:v>editorial</x:v>
      </x:c>
      <x:c r="K156" s="94" t="str">
        <x:v>link</x:v>
      </x:c>
      <x:c r="L156" s="94" t="str">
        <x:v>editorial</x:v>
      </x:c>
      <x:c r="M156" s="94" t="str">
        <x:v>campaign.radio.programProgress.H-LUX-02</x:v>
      </x:c>
      <x:c r="N156" s="94" t="str">
        <x:v>tools/verify-radio-program.mjs · ordered playback receipt</x:v>
      </x:c>
    </x:row>
    <x:row r="157" ht="46" customHeight="1">
      <x:c r="A157" s="95" t="str">
        <x:v>BLOCK</x:v>
      </x:c>
      <x:c r="B157" s="95" t="str">
        <x:v>margo_stayover</x:v>
      </x:c>
      <x:c r="C157" s="95" t="str">
        <x:v>talkFirst</x:v>
      </x:c>
      <x:c r="D157" s="95" t="str">
        <x:v>luxury_apartment</x:v>
      </x:c>
      <x:c r="E157" s="95" t="str">
        <x:v>enabled</x:v>
      </x:c>
      <x:c r="F157" s="95" t="str">
        <x:v>H-LUX-02</x:v>
      </x:c>
      <x:c r="G157" s="95" t="n">
        <x:v>300</x:v>
      </x:c>
      <x:c r="H157" s="95" t="n">
        <x:v>23</x:v>
      </x:c>
      <x:c r="I157" s="95" t="n">
        <x:v>9</x:v>
      </x:c>
      <x:c r="J157" s="95" t="str">
        <x:v>talk-05</x:v>
      </x:c>
      <x:c r="K157" s="95" t="str">
        <x:v>talk</x:v>
      </x:c>
      <x:c r="L157" s="95" t="str">
        <x:v>talk-05</x:v>
      </x:c>
      <x:c r="M157" s="95" t="str">
        <x:v>campaign.radio.programProgress.H-LUX-02</x:v>
      </x:c>
      <x:c r="N157" s="95" t="str">
        <x:v>tools/verify-radio-program.mjs · ordered playback receipt</x:v>
      </x:c>
    </x:row>
    <x:row r="158" ht="46" customHeight="1">
      <x:c r="A158" s="94" t="str">
        <x:v>BLOCK</x:v>
      </x:c>
      <x:c r="B158" s="94" t="str">
        <x:v>margo_stayover</x:v>
      </x:c>
      <x:c r="C158" s="94" t="str">
        <x:v>talkFirst</x:v>
      </x:c>
      <x:c r="D158" s="94" t="str">
        <x:v>luxury_apartment</x:v>
      </x:c>
      <x:c r="E158" s="94" t="str">
        <x:v>enabled</x:v>
      </x:c>
      <x:c r="F158" s="94" t="str">
        <x:v>H-LUX-02</x:v>
      </x:c>
      <x:c r="G158" s="94" t="n">
        <x:v>300</x:v>
      </x:c>
      <x:c r="H158" s="94" t="n">
        <x:v>23</x:v>
      </x:c>
      <x:c r="I158" s="94" t="n">
        <x:v>10</x:v>
      </x:c>
      <x:c r="J158" s="94" t="str">
        <x:v>talk-06</x:v>
      </x:c>
      <x:c r="K158" s="94" t="str">
        <x:v>talk</x:v>
      </x:c>
      <x:c r="L158" s="94" t="str">
        <x:v>talk-06</x:v>
      </x:c>
      <x:c r="M158" s="94" t="str">
        <x:v>campaign.radio.programProgress.H-LUX-02</x:v>
      </x:c>
      <x:c r="N158" s="94" t="str">
        <x:v>tools/verify-radio-program.mjs · ordered playback receipt</x:v>
      </x:c>
    </x:row>
    <x:row r="159" ht="46" customHeight="1">
      <x:c r="A159" s="95" t="str">
        <x:v>BLOCK</x:v>
      </x:c>
      <x:c r="B159" s="95" t="str">
        <x:v>margo_stayover</x:v>
      </x:c>
      <x:c r="C159" s="95" t="str">
        <x:v>talkFirst</x:v>
      </x:c>
      <x:c r="D159" s="95" t="str">
        <x:v>luxury_apartment</x:v>
      </x:c>
      <x:c r="E159" s="95" t="str">
        <x:v>enabled</x:v>
      </x:c>
      <x:c r="F159" s="95" t="str">
        <x:v>H-LUX-02</x:v>
      </x:c>
      <x:c r="G159" s="95" t="n">
        <x:v>300</x:v>
      </x:c>
      <x:c r="H159" s="95" t="n">
        <x:v>23</x:v>
      </x:c>
      <x:c r="I159" s="95" t="n">
        <x:v>11</x:v>
      </x:c>
      <x:c r="J159" s="95" t="str">
        <x:v>talk-07</x:v>
      </x:c>
      <x:c r="K159" s="95" t="str">
        <x:v>talk</x:v>
      </x:c>
      <x:c r="L159" s="95" t="str">
        <x:v>talk-07</x:v>
      </x:c>
      <x:c r="M159" s="95" t="str">
        <x:v>campaign.radio.programProgress.H-LUX-02</x:v>
      </x:c>
      <x:c r="N159" s="95" t="str">
        <x:v>tools/verify-radio-program.mjs · ordered playback receipt</x:v>
      </x:c>
    </x:row>
    <x:row r="160" ht="46" customHeight="1">
      <x:c r="A160" s="94" t="str">
        <x:v>BLOCK</x:v>
      </x:c>
      <x:c r="B160" s="94" t="str">
        <x:v>margo_stayover</x:v>
      </x:c>
      <x:c r="C160" s="94" t="str">
        <x:v>talkFirst</x:v>
      </x:c>
      <x:c r="D160" s="94" t="str">
        <x:v>luxury_apartment</x:v>
      </x:c>
      <x:c r="E160" s="94" t="str">
        <x:v>enabled</x:v>
      </x:c>
      <x:c r="F160" s="94" t="str">
        <x:v>H-LUX-02</x:v>
      </x:c>
      <x:c r="G160" s="94" t="n">
        <x:v>300</x:v>
      </x:c>
      <x:c r="H160" s="94" t="n">
        <x:v>23</x:v>
      </x:c>
      <x:c r="I160" s="94" t="n">
        <x:v>12</x:v>
      </x:c>
      <x:c r="J160" s="94" t="str">
        <x:v>talk-08</x:v>
      </x:c>
      <x:c r="K160" s="94" t="str">
        <x:v>talk</x:v>
      </x:c>
      <x:c r="L160" s="94" t="str">
        <x:v>talk-08</x:v>
      </x:c>
      <x:c r="M160" s="94" t="str">
        <x:v>campaign.radio.programProgress.H-LUX-02</x:v>
      </x:c>
      <x:c r="N160" s="94" t="str">
        <x:v>tools/verify-radio-program.mjs · ordered playback receipt</x:v>
      </x:c>
    </x:row>
    <x:row r="161" ht="46" customHeight="1">
      <x:c r="A161" s="95" t="str">
        <x:v>BLOCK</x:v>
      </x:c>
      <x:c r="B161" s="95" t="str">
        <x:v>margo_stayover</x:v>
      </x:c>
      <x:c r="C161" s="95" t="str">
        <x:v>talkFirst</x:v>
      </x:c>
      <x:c r="D161" s="95" t="str">
        <x:v>luxury_apartment</x:v>
      </x:c>
      <x:c r="E161" s="95" t="str">
        <x:v>enabled</x:v>
      </x:c>
      <x:c r="F161" s="95" t="str">
        <x:v>H-LUX-02</x:v>
      </x:c>
      <x:c r="G161" s="95" t="n">
        <x:v>300</x:v>
      </x:c>
      <x:c r="H161" s="95" t="n">
        <x:v>23</x:v>
      </x:c>
      <x:c r="I161" s="95" t="n">
        <x:v>13</x:v>
      </x:c>
      <x:c r="J161" s="95" t="str">
        <x:v>song-02</x:v>
      </x:c>
      <x:c r="K161" s="95" t="str">
        <x:v>song</x:v>
      </x:c>
      <x:c r="L161" s="95" t="str">
        <x:v>10-drunk-cigarettes</x:v>
      </x:c>
      <x:c r="M161" s="95" t="str">
        <x:v>campaign.radio.programProgress.H-LUX-02</x:v>
      </x:c>
      <x:c r="N161" s="95" t="str">
        <x:v>tools/verify-radio-program.mjs · ordered playback receipt</x:v>
      </x:c>
    </x:row>
    <x:row r="162" ht="46" customHeight="1">
      <x:c r="A162" s="94" t="str">
        <x:v>BLOCK</x:v>
      </x:c>
      <x:c r="B162" s="94" t="str">
        <x:v>margo_stayover</x:v>
      </x:c>
      <x:c r="C162" s="94" t="str">
        <x:v>talkFirst</x:v>
      </x:c>
      <x:c r="D162" s="94" t="str">
        <x:v>luxury_apartment</x:v>
      </x:c>
      <x:c r="E162" s="94" t="str">
        <x:v>enabled</x:v>
      </x:c>
      <x:c r="F162" s="94" t="str">
        <x:v>H-LUX-02</x:v>
      </x:c>
      <x:c r="G162" s="94" t="n">
        <x:v>300</x:v>
      </x:c>
      <x:c r="H162" s="94" t="n">
        <x:v>23</x:v>
      </x:c>
      <x:c r="I162" s="94" t="n">
        <x:v>14</x:v>
      </x:c>
      <x:c r="J162" s="94" t="str">
        <x:v>ad</x:v>
      </x:c>
      <x:c r="K162" s="94" t="str">
        <x:v>ad</x:v>
      </x:c>
      <x:c r="L162" s="94" t="str">
        <x:v>attorney</x:v>
      </x:c>
      <x:c r="M162" s="94" t="str">
        <x:v>campaign.radio.programProgress.H-LUX-02</x:v>
      </x:c>
      <x:c r="N162" s="94" t="str">
        <x:v>tools/verify-radio-program.mjs · ordered playback receipt</x:v>
      </x:c>
    </x:row>
    <x:row r="163" ht="46" customHeight="1">
      <x:c r="A163" s="95" t="str">
        <x:v>BLOCK</x:v>
      </x:c>
      <x:c r="B163" s="95" t="str">
        <x:v>margo_stayover</x:v>
      </x:c>
      <x:c r="C163" s="95" t="str">
        <x:v>talkFirst</x:v>
      </x:c>
      <x:c r="D163" s="95" t="str">
        <x:v>luxury_apartment</x:v>
      </x:c>
      <x:c r="E163" s="95" t="str">
        <x:v>enabled</x:v>
      </x:c>
      <x:c r="F163" s="95" t="str">
        <x:v>H-LUX-02</x:v>
      </x:c>
      <x:c r="G163" s="95" t="n">
        <x:v>300</x:v>
      </x:c>
      <x:c r="H163" s="95" t="n">
        <x:v>23</x:v>
      </x:c>
      <x:c r="I163" s="95" t="n">
        <x:v>15</x:v>
      </x:c>
      <x:c r="J163" s="95" t="str">
        <x:v>handoff</x:v>
      </x:c>
      <x:c r="K163" s="95" t="str">
        <x:v>handoff</x:v>
      </x:c>
      <x:c r="L163" s="95" t="str">
        <x:v>handoff</x:v>
      </x:c>
      <x:c r="M163" s="95" t="str">
        <x:v>campaign.radio.programProgress.H-LUX-02</x:v>
      </x:c>
      <x:c r="N163" s="95" t="str">
        <x:v>tools/verify-radio-program.mjs · ordered playback receipt</x:v>
      </x:c>
    </x:row>
    <x:row r="164" ht="46" customHeight="1">
      <x:c r="A164" s="94" t="str">
        <x:v>PROGRAM</x:v>
      </x:c>
      <x:c r="B164" s="94" t="str">
        <x:v>luxury_apartment_morning</x:v>
      </x:c>
      <x:c r="C164" s="94" t="str">
        <x:v>talkFirst</x:v>
      </x:c>
      <x:c r="D164" s="94" t="str">
        <x:v>luxury_apartment</x:v>
      </x:c>
      <x:c r="E164" s="94" t="str">
        <x:v>enabled</x:v>
      </x:c>
      <x:c r="F164" s="94" t="str">
        <x:v>H-LUX-03</x:v>
      </x:c>
      <x:c r="G164" s="94" t="n">
        <x:v>300</x:v>
      </x:c>
      <x:c r="H164" s="94" t="n">
        <x:v>7</x:v>
      </x:c>
      <x:c r="I164" s="94" t="str"/>
      <x:c r="J164" s="94" t="str"/>
      <x:c r="K164" s="94" t="str"/>
      <x:c r="L164" s="94" t="str"/>
      <x:c r="M164" s="94" t="str">
        <x:v>campaign.radio.programProgress.H-LUX-03</x:v>
      </x:c>
      <x:c r="N164" s="94" t="str">
        <x:v>src/core/radio-program.js · RADIO_PROGRAMS</x:v>
      </x:c>
    </x:row>
    <x:row r="165" ht="46" customHeight="1">
      <x:c r="A165" s="95" t="str">
        <x:v>BLOCK</x:v>
      </x:c>
      <x:c r="B165" s="95" t="str">
        <x:v>luxury_apartment_morning</x:v>
      </x:c>
      <x:c r="C165" s="95" t="str">
        <x:v>talkFirst</x:v>
      </x:c>
      <x:c r="D165" s="95" t="str">
        <x:v>luxury_apartment</x:v>
      </x:c>
      <x:c r="E165" s="95" t="str">
        <x:v>enabled</x:v>
      </x:c>
      <x:c r="F165" s="95" t="str">
        <x:v>H-LUX-03</x:v>
      </x:c>
      <x:c r="G165" s="95" t="n">
        <x:v>300</x:v>
      </x:c>
      <x:c r="H165" s="95" t="n">
        <x:v>7</x:v>
      </x:c>
      <x:c r="I165" s="95" t="n">
        <x:v>1</x:v>
      </x:c>
      <x:c r="J165" s="95" t="str">
        <x:v>ident</x:v>
      </x:c>
      <x:c r="K165" s="95" t="str">
        <x:v>ident</x:v>
      </x:c>
      <x:c r="L165" s="95" t="str">
        <x:v>ident</x:v>
      </x:c>
      <x:c r="M165" s="95" t="str">
        <x:v>campaign.radio.programProgress.H-LUX-03</x:v>
      </x:c>
      <x:c r="N165" s="95" t="str">
        <x:v>tools/verify-radio-program.mjs · ordered playback receipt</x:v>
      </x:c>
    </x:row>
    <x:row r="166" ht="46" customHeight="1">
      <x:c r="A166" s="94" t="str">
        <x:v>BLOCK</x:v>
      </x:c>
      <x:c r="B166" s="94" t="str">
        <x:v>luxury_apartment_morning</x:v>
      </x:c>
      <x:c r="C166" s="94" t="str">
        <x:v>talkFirst</x:v>
      </x:c>
      <x:c r="D166" s="94" t="str">
        <x:v>luxury_apartment</x:v>
      </x:c>
      <x:c r="E166" s="94" t="str">
        <x:v>enabled</x:v>
      </x:c>
      <x:c r="F166" s="94" t="str">
        <x:v>H-LUX-03</x:v>
      </x:c>
      <x:c r="G166" s="94" t="n">
        <x:v>300</x:v>
      </x:c>
      <x:c r="H166" s="94" t="n">
        <x:v>7</x:v>
      </x:c>
      <x:c r="I166" s="94" t="n">
        <x:v>2</x:v>
      </x:c>
      <x:c r="J166" s="94" t="str">
        <x:v>show-intro</x:v>
      </x:c>
      <x:c r="K166" s="94" t="str">
        <x:v>showIntro</x:v>
      </x:c>
      <x:c r="L166" s="94" t="str">
        <x:v>show-intro</x:v>
      </x:c>
      <x:c r="M166" s="94" t="str">
        <x:v>campaign.radio.programProgress.H-LUX-03</x:v>
      </x:c>
      <x:c r="N166" s="94" t="str">
        <x:v>tools/verify-radio-program.mjs · ordered playback receipt</x:v>
      </x:c>
    </x:row>
    <x:row r="167" ht="46" customHeight="1">
      <x:c r="A167" s="95" t="str">
        <x:v>BLOCK</x:v>
      </x:c>
      <x:c r="B167" s="95" t="str">
        <x:v>luxury_apartment_morning</x:v>
      </x:c>
      <x:c r="C167" s="95" t="str">
        <x:v>talkFirst</x:v>
      </x:c>
      <x:c r="D167" s="95" t="str">
        <x:v>luxury_apartment</x:v>
      </x:c>
      <x:c r="E167" s="95" t="str">
        <x:v>enabled</x:v>
      </x:c>
      <x:c r="F167" s="95" t="str">
        <x:v>H-LUX-03</x:v>
      </x:c>
      <x:c r="G167" s="95" t="n">
        <x:v>300</x:v>
      </x:c>
      <x:c r="H167" s="95" t="n">
        <x:v>7</x:v>
      </x:c>
      <x:c r="I167" s="95" t="n">
        <x:v>3</x:v>
      </x:c>
      <x:c r="J167" s="95" t="str">
        <x:v>talk-01</x:v>
      </x:c>
      <x:c r="K167" s="95" t="str">
        <x:v>talk</x:v>
      </x:c>
      <x:c r="L167" s="95" t="str">
        <x:v>talk-01</x:v>
      </x:c>
      <x:c r="M167" s="95" t="str">
        <x:v>campaign.radio.programProgress.H-LUX-03</x:v>
      </x:c>
      <x:c r="N167" s="95" t="str">
        <x:v>tools/verify-radio-program.mjs · ordered playback receipt</x:v>
      </x:c>
    </x:row>
    <x:row r="168" ht="46" customHeight="1">
      <x:c r="A168" s="94" t="str">
        <x:v>BLOCK</x:v>
      </x:c>
      <x:c r="B168" s="94" t="str">
        <x:v>luxury_apartment_morning</x:v>
      </x:c>
      <x:c r="C168" s="94" t="str">
        <x:v>talkFirst</x:v>
      </x:c>
      <x:c r="D168" s="94" t="str">
        <x:v>luxury_apartment</x:v>
      </x:c>
      <x:c r="E168" s="94" t="str">
        <x:v>enabled</x:v>
      </x:c>
      <x:c r="F168" s="94" t="str">
        <x:v>H-LUX-03</x:v>
      </x:c>
      <x:c r="G168" s="94" t="n">
        <x:v>300</x:v>
      </x:c>
      <x:c r="H168" s="94" t="n">
        <x:v>7</x:v>
      </x:c>
      <x:c r="I168" s="94" t="n">
        <x:v>4</x:v>
      </x:c>
      <x:c r="J168" s="94" t="str">
        <x:v>talk-02</x:v>
      </x:c>
      <x:c r="K168" s="94" t="str">
        <x:v>talk</x:v>
      </x:c>
      <x:c r="L168" s="94" t="str">
        <x:v>talk-02</x:v>
      </x:c>
      <x:c r="M168" s="94" t="str">
        <x:v>campaign.radio.programProgress.H-LUX-03</x:v>
      </x:c>
      <x:c r="N168" s="94" t="str">
        <x:v>tools/verify-radio-program.mjs · ordered playback receipt</x:v>
      </x:c>
    </x:row>
    <x:row r="169" ht="46" customHeight="1">
      <x:c r="A169" s="95" t="str">
        <x:v>BLOCK</x:v>
      </x:c>
      <x:c r="B169" s="95" t="str">
        <x:v>luxury_apartment_morning</x:v>
      </x:c>
      <x:c r="C169" s="95" t="str">
        <x:v>talkFirst</x:v>
      </x:c>
      <x:c r="D169" s="95" t="str">
        <x:v>luxury_apartment</x:v>
      </x:c>
      <x:c r="E169" s="95" t="str">
        <x:v>enabled</x:v>
      </x:c>
      <x:c r="F169" s="95" t="str">
        <x:v>H-LUX-03</x:v>
      </x:c>
      <x:c r="G169" s="95" t="n">
        <x:v>300</x:v>
      </x:c>
      <x:c r="H169" s="95" t="n">
        <x:v>7</x:v>
      </x:c>
      <x:c r="I169" s="95" t="n">
        <x:v>5</x:v>
      </x:c>
      <x:c r="J169" s="95" t="str">
        <x:v>talk-03</x:v>
      </x:c>
      <x:c r="K169" s="95" t="str">
        <x:v>talk</x:v>
      </x:c>
      <x:c r="L169" s="95" t="str">
        <x:v>talk-03</x:v>
      </x:c>
      <x:c r="M169" s="95" t="str">
        <x:v>campaign.radio.programProgress.H-LUX-03</x:v>
      </x:c>
      <x:c r="N169" s="95" t="str">
        <x:v>tools/verify-radio-program.mjs · ordered playback receipt</x:v>
      </x:c>
    </x:row>
    <x:row r="170" ht="46" customHeight="1">
      <x:c r="A170" s="94" t="str">
        <x:v>BLOCK</x:v>
      </x:c>
      <x:c r="B170" s="94" t="str">
        <x:v>luxury_apartment_morning</x:v>
      </x:c>
      <x:c r="C170" s="94" t="str">
        <x:v>talkFirst</x:v>
      </x:c>
      <x:c r="D170" s="94" t="str">
        <x:v>luxury_apartment</x:v>
      </x:c>
      <x:c r="E170" s="94" t="str">
        <x:v>enabled</x:v>
      </x:c>
      <x:c r="F170" s="94" t="str">
        <x:v>H-LUX-03</x:v>
      </x:c>
      <x:c r="G170" s="94" t="n">
        <x:v>300</x:v>
      </x:c>
      <x:c r="H170" s="94" t="n">
        <x:v>7</x:v>
      </x:c>
      <x:c r="I170" s="94" t="n">
        <x:v>6</x:v>
      </x:c>
      <x:c r="J170" s="94" t="str">
        <x:v>talk-04</x:v>
      </x:c>
      <x:c r="K170" s="94" t="str">
        <x:v>talk</x:v>
      </x:c>
      <x:c r="L170" s="94" t="str">
        <x:v>talk-04</x:v>
      </x:c>
      <x:c r="M170" s="94" t="str">
        <x:v>campaign.radio.programProgress.H-LUX-03</x:v>
      </x:c>
      <x:c r="N170" s="94" t="str">
        <x:v>tools/verify-radio-program.mjs · ordered playback receipt</x:v>
      </x:c>
    </x:row>
    <x:row r="171" ht="46" customHeight="1">
      <x:c r="A171" s="95" t="str">
        <x:v>BLOCK</x:v>
      </x:c>
      <x:c r="B171" s="95" t="str">
        <x:v>luxury_apartment_morning</x:v>
      </x:c>
      <x:c r="C171" s="95" t="str">
        <x:v>talkFirst</x:v>
      </x:c>
      <x:c r="D171" s="95" t="str">
        <x:v>luxury_apartment</x:v>
      </x:c>
      <x:c r="E171" s="95" t="str">
        <x:v>enabled</x:v>
      </x:c>
      <x:c r="F171" s="95" t="str">
        <x:v>H-LUX-03</x:v>
      </x:c>
      <x:c r="G171" s="95" t="n">
        <x:v>300</x:v>
      </x:c>
      <x:c r="H171" s="95" t="n">
        <x:v>7</x:v>
      </x:c>
      <x:c r="I171" s="95" t="n">
        <x:v>7</x:v>
      </x:c>
      <x:c r="J171" s="95" t="str">
        <x:v>song-01</x:v>
      </x:c>
      <x:c r="K171" s="95" t="str">
        <x:v>song</x:v>
      </x:c>
      <x:c r="L171" s="95" t="str">
        <x:v>good-ole-days</x:v>
      </x:c>
      <x:c r="M171" s="95" t="str">
        <x:v>campaign.radio.programProgress.H-LUX-03</x:v>
      </x:c>
      <x:c r="N171" s="95" t="str">
        <x:v>tools/verify-radio-program.mjs · ordered playback receipt</x:v>
      </x:c>
    </x:row>
    <x:row r="172" ht="46" customHeight="1">
      <x:c r="A172" s="94" t="str">
        <x:v>BLOCK</x:v>
      </x:c>
      <x:c r="B172" s="94" t="str">
        <x:v>luxury_apartment_morning</x:v>
      </x:c>
      <x:c r="C172" s="94" t="str">
        <x:v>talkFirst</x:v>
      </x:c>
      <x:c r="D172" s="94" t="str">
        <x:v>luxury_apartment</x:v>
      </x:c>
      <x:c r="E172" s="94" t="str">
        <x:v>enabled</x:v>
      </x:c>
      <x:c r="F172" s="94" t="str">
        <x:v>H-LUX-03</x:v>
      </x:c>
      <x:c r="G172" s="94" t="n">
        <x:v>300</x:v>
      </x:c>
      <x:c r="H172" s="94" t="n">
        <x:v>7</x:v>
      </x:c>
      <x:c r="I172" s="94" t="n">
        <x:v>8</x:v>
      </x:c>
      <x:c r="J172" s="94" t="str">
        <x:v>editorial</x:v>
      </x:c>
      <x:c r="K172" s="94" t="str">
        <x:v>link</x:v>
      </x:c>
      <x:c r="L172" s="94" t="str">
        <x:v>editorial</x:v>
      </x:c>
      <x:c r="M172" s="94" t="str">
        <x:v>campaign.radio.programProgress.H-LUX-03</x:v>
      </x:c>
      <x:c r="N172" s="94" t="str">
        <x:v>tools/verify-radio-program.mjs · ordered playback receipt</x:v>
      </x:c>
    </x:row>
    <x:row r="173" ht="46" customHeight="1">
      <x:c r="A173" s="95" t="str">
        <x:v>BLOCK</x:v>
      </x:c>
      <x:c r="B173" s="95" t="str">
        <x:v>luxury_apartment_morning</x:v>
      </x:c>
      <x:c r="C173" s="95" t="str">
        <x:v>talkFirst</x:v>
      </x:c>
      <x:c r="D173" s="95" t="str">
        <x:v>luxury_apartment</x:v>
      </x:c>
      <x:c r="E173" s="95" t="str">
        <x:v>enabled</x:v>
      </x:c>
      <x:c r="F173" s="95" t="str">
        <x:v>H-LUX-03</x:v>
      </x:c>
      <x:c r="G173" s="95" t="n">
        <x:v>300</x:v>
      </x:c>
      <x:c r="H173" s="95" t="n">
        <x:v>7</x:v>
      </x:c>
      <x:c r="I173" s="95" t="n">
        <x:v>9</x:v>
      </x:c>
      <x:c r="J173" s="95" t="str">
        <x:v>talk-05</x:v>
      </x:c>
      <x:c r="K173" s="95" t="str">
        <x:v>talk</x:v>
      </x:c>
      <x:c r="L173" s="95" t="str">
        <x:v>talk-05</x:v>
      </x:c>
      <x:c r="M173" s="95" t="str">
        <x:v>campaign.radio.programProgress.H-LUX-03</x:v>
      </x:c>
      <x:c r="N173" s="95" t="str">
        <x:v>tools/verify-radio-program.mjs · ordered playback receipt</x:v>
      </x:c>
    </x:row>
    <x:row r="174" ht="46" customHeight="1">
      <x:c r="A174" s="94" t="str">
        <x:v>BLOCK</x:v>
      </x:c>
      <x:c r="B174" s="94" t="str">
        <x:v>luxury_apartment_morning</x:v>
      </x:c>
      <x:c r="C174" s="94" t="str">
        <x:v>talkFirst</x:v>
      </x:c>
      <x:c r="D174" s="94" t="str">
        <x:v>luxury_apartment</x:v>
      </x:c>
      <x:c r="E174" s="94" t="str">
        <x:v>enabled</x:v>
      </x:c>
      <x:c r="F174" s="94" t="str">
        <x:v>H-LUX-03</x:v>
      </x:c>
      <x:c r="G174" s="94" t="n">
        <x:v>300</x:v>
      </x:c>
      <x:c r="H174" s="94" t="n">
        <x:v>7</x:v>
      </x:c>
      <x:c r="I174" s="94" t="n">
        <x:v>10</x:v>
      </x:c>
      <x:c r="J174" s="94" t="str">
        <x:v>talk-06</x:v>
      </x:c>
      <x:c r="K174" s="94" t="str">
        <x:v>talk</x:v>
      </x:c>
      <x:c r="L174" s="94" t="str">
        <x:v>talk-06</x:v>
      </x:c>
      <x:c r="M174" s="94" t="str">
        <x:v>campaign.radio.programProgress.H-LUX-03</x:v>
      </x:c>
      <x:c r="N174" s="94" t="str">
        <x:v>tools/verify-radio-program.mjs · ordered playback receipt</x:v>
      </x:c>
    </x:row>
    <x:row r="175" ht="46" customHeight="1">
      <x:c r="A175" s="95" t="str">
        <x:v>BLOCK</x:v>
      </x:c>
      <x:c r="B175" s="95" t="str">
        <x:v>luxury_apartment_morning</x:v>
      </x:c>
      <x:c r="C175" s="95" t="str">
        <x:v>talkFirst</x:v>
      </x:c>
      <x:c r="D175" s="95" t="str">
        <x:v>luxury_apartment</x:v>
      </x:c>
      <x:c r="E175" s="95" t="str">
        <x:v>enabled</x:v>
      </x:c>
      <x:c r="F175" s="95" t="str">
        <x:v>H-LUX-03</x:v>
      </x:c>
      <x:c r="G175" s="95" t="n">
        <x:v>300</x:v>
      </x:c>
      <x:c r="H175" s="95" t="n">
        <x:v>7</x:v>
      </x:c>
      <x:c r="I175" s="95" t="n">
        <x:v>11</x:v>
      </x:c>
      <x:c r="J175" s="95" t="str">
        <x:v>talk-07</x:v>
      </x:c>
      <x:c r="K175" s="95" t="str">
        <x:v>talk</x:v>
      </x:c>
      <x:c r="L175" s="95" t="str">
        <x:v>talk-07</x:v>
      </x:c>
      <x:c r="M175" s="95" t="str">
        <x:v>campaign.radio.programProgress.H-LUX-03</x:v>
      </x:c>
      <x:c r="N175" s="95" t="str">
        <x:v>tools/verify-radio-program.mjs · ordered playback receipt</x:v>
      </x:c>
    </x:row>
    <x:row r="176" ht="46" customHeight="1">
      <x:c r="A176" s="94" t="str">
        <x:v>BLOCK</x:v>
      </x:c>
      <x:c r="B176" s="94" t="str">
        <x:v>luxury_apartment_morning</x:v>
      </x:c>
      <x:c r="C176" s="94" t="str">
        <x:v>talkFirst</x:v>
      </x:c>
      <x:c r="D176" s="94" t="str">
        <x:v>luxury_apartment</x:v>
      </x:c>
      <x:c r="E176" s="94" t="str">
        <x:v>enabled</x:v>
      </x:c>
      <x:c r="F176" s="94" t="str">
        <x:v>H-LUX-03</x:v>
      </x:c>
      <x:c r="G176" s="94" t="n">
        <x:v>300</x:v>
      </x:c>
      <x:c r="H176" s="94" t="n">
        <x:v>7</x:v>
      </x:c>
      <x:c r="I176" s="94" t="n">
        <x:v>12</x:v>
      </x:c>
      <x:c r="J176" s="94" t="str">
        <x:v>talk-08</x:v>
      </x:c>
      <x:c r="K176" s="94" t="str">
        <x:v>talk</x:v>
      </x:c>
      <x:c r="L176" s="94" t="str">
        <x:v>talk-08</x:v>
      </x:c>
      <x:c r="M176" s="94" t="str">
        <x:v>campaign.radio.programProgress.H-LUX-03</x:v>
      </x:c>
      <x:c r="N176" s="94" t="str">
        <x:v>tools/verify-radio-program.mjs · ordered playback receipt</x:v>
      </x:c>
    </x:row>
    <x:row r="177" ht="46" customHeight="1">
      <x:c r="A177" s="95" t="str">
        <x:v>BLOCK</x:v>
      </x:c>
      <x:c r="B177" s="95" t="str">
        <x:v>luxury_apartment_morning</x:v>
      </x:c>
      <x:c r="C177" s="95" t="str">
        <x:v>talkFirst</x:v>
      </x:c>
      <x:c r="D177" s="95" t="str">
        <x:v>luxury_apartment</x:v>
      </x:c>
      <x:c r="E177" s="95" t="str">
        <x:v>enabled</x:v>
      </x:c>
      <x:c r="F177" s="95" t="str">
        <x:v>H-LUX-03</x:v>
      </x:c>
      <x:c r="G177" s="95" t="n">
        <x:v>300</x:v>
      </x:c>
      <x:c r="H177" s="95" t="n">
        <x:v>7</x:v>
      </x:c>
      <x:c r="I177" s="95" t="n">
        <x:v>13</x:v>
      </x:c>
      <x:c r="J177" s="95" t="str">
        <x:v>song-02</x:v>
      </x:c>
      <x:c r="K177" s="95" t="str">
        <x:v>song</x:v>
      </x:c>
      <x:c r="L177" s="95" t="str">
        <x:v>cosmic-drift</x:v>
      </x:c>
      <x:c r="M177" s="95" t="str">
        <x:v>campaign.radio.programProgress.H-LUX-03</x:v>
      </x:c>
      <x:c r="N177" s="95" t="str">
        <x:v>tools/verify-radio-program.mjs · ordered playback receipt</x:v>
      </x:c>
    </x:row>
    <x:row r="178" ht="46" customHeight="1">
      <x:c r="A178" s="94" t="str">
        <x:v>BLOCK</x:v>
      </x:c>
      <x:c r="B178" s="94" t="str">
        <x:v>luxury_apartment_morning</x:v>
      </x:c>
      <x:c r="C178" s="94" t="str">
        <x:v>talkFirst</x:v>
      </x:c>
      <x:c r="D178" s="94" t="str">
        <x:v>luxury_apartment</x:v>
      </x:c>
      <x:c r="E178" s="94" t="str">
        <x:v>enabled</x:v>
      </x:c>
      <x:c r="F178" s="94" t="str">
        <x:v>H-LUX-03</x:v>
      </x:c>
      <x:c r="G178" s="94" t="n">
        <x:v>300</x:v>
      </x:c>
      <x:c r="H178" s="94" t="n">
        <x:v>7</x:v>
      </x:c>
      <x:c r="I178" s="94" t="n">
        <x:v>14</x:v>
      </x:c>
      <x:c r="J178" s="94" t="str">
        <x:v>ad</x:v>
      </x:c>
      <x:c r="K178" s="94" t="str">
        <x:v>ad</x:v>
      </x:c>
      <x:c r="L178" s="94" t="str">
        <x:v>station.morning</x:v>
      </x:c>
      <x:c r="M178" s="94" t="str">
        <x:v>campaign.radio.programProgress.H-LUX-03</x:v>
      </x:c>
      <x:c r="N178" s="94" t="str">
        <x:v>tools/verify-radio-program.mjs · ordered playback receipt</x:v>
      </x:c>
    </x:row>
    <x:row r="179" ht="46" customHeight="1">
      <x:c r="A179" s="95" t="str">
        <x:v>BLOCK</x:v>
      </x:c>
      <x:c r="B179" s="95" t="str">
        <x:v>luxury_apartment_morning</x:v>
      </x:c>
      <x:c r="C179" s="95" t="str">
        <x:v>talkFirst</x:v>
      </x:c>
      <x:c r="D179" s="95" t="str">
        <x:v>luxury_apartment</x:v>
      </x:c>
      <x:c r="E179" s="95" t="str">
        <x:v>enabled</x:v>
      </x:c>
      <x:c r="F179" s="95" t="str">
        <x:v>H-LUX-03</x:v>
      </x:c>
      <x:c r="G179" s="95" t="n">
        <x:v>300</x:v>
      </x:c>
      <x:c r="H179" s="95" t="n">
        <x:v>7</x:v>
      </x:c>
      <x:c r="I179" s="95" t="n">
        <x:v>15</x:v>
      </x:c>
      <x:c r="J179" s="95" t="str">
        <x:v>handoff</x:v>
      </x:c>
      <x:c r="K179" s="95" t="str">
        <x:v>handoff</x:v>
      </x:c>
      <x:c r="L179" s="95" t="str">
        <x:v>handoff</x:v>
      </x:c>
      <x:c r="M179" s="95" t="str">
        <x:v>campaign.radio.programProgress.H-LUX-03</x:v>
      </x:c>
      <x:c r="N179" s="95" t="str">
        <x:v>tools/verify-radio-program.mjs · ordered playback receipt</x:v>
      </x:c>
    </x:row>
    <x:row r="180" ht="46" customHeight="1">
      <x:c r="A180" s="94" t="str">
        <x:v>PROGRAM</x:v>
      </x:c>
      <x:c r="B180" s="94" t="str">
        <x:v>luxury_apartment_return</x:v>
      </x:c>
      <x:c r="C180" s="94" t="str">
        <x:v>talkFirst</x:v>
      </x:c>
      <x:c r="D180" s="94" t="str">
        <x:v>luxury_apartment</x:v>
      </x:c>
      <x:c r="E180" s="94" t="str">
        <x:v>enabled</x:v>
      </x:c>
      <x:c r="F180" s="94" t="str">
        <x:v>H-LUX-04</x:v>
      </x:c>
      <x:c r="G180" s="94" t="n">
        <x:v>300</x:v>
      </x:c>
      <x:c r="H180" s="94" t="n">
        <x:v>17</x:v>
      </x:c>
      <x:c r="I180" s="94" t="str"/>
      <x:c r="J180" s="94" t="str"/>
      <x:c r="K180" s="94" t="str"/>
      <x:c r="L180" s="94" t="str"/>
      <x:c r="M180" s="94" t="str">
        <x:v>campaign.radio.programProgress.H-LUX-04</x:v>
      </x:c>
      <x:c r="N180" s="94" t="str">
        <x:v>src/core/radio-program.js · RADIO_PROGRAMS</x:v>
      </x:c>
    </x:row>
    <x:row r="181" ht="46" customHeight="1">
      <x:c r="A181" s="95" t="str">
        <x:v>BLOCK</x:v>
      </x:c>
      <x:c r="B181" s="95" t="str">
        <x:v>luxury_apartment_return</x:v>
      </x:c>
      <x:c r="C181" s="95" t="str">
        <x:v>talkFirst</x:v>
      </x:c>
      <x:c r="D181" s="95" t="str">
        <x:v>luxury_apartment</x:v>
      </x:c>
      <x:c r="E181" s="95" t="str">
        <x:v>enabled</x:v>
      </x:c>
      <x:c r="F181" s="95" t="str">
        <x:v>H-LUX-04</x:v>
      </x:c>
      <x:c r="G181" s="95" t="n">
        <x:v>300</x:v>
      </x:c>
      <x:c r="H181" s="95" t="n">
        <x:v>17</x:v>
      </x:c>
      <x:c r="I181" s="95" t="n">
        <x:v>1</x:v>
      </x:c>
      <x:c r="J181" s="95" t="str">
        <x:v>ident</x:v>
      </x:c>
      <x:c r="K181" s="95" t="str">
        <x:v>ident</x:v>
      </x:c>
      <x:c r="L181" s="95" t="str">
        <x:v>ident</x:v>
      </x:c>
      <x:c r="M181" s="95" t="str">
        <x:v>campaign.radio.programProgress.H-LUX-04</x:v>
      </x:c>
      <x:c r="N181" s="95" t="str">
        <x:v>tools/verify-radio-program.mjs · ordered playback receipt</x:v>
      </x:c>
    </x:row>
    <x:row r="182" ht="46" customHeight="1">
      <x:c r="A182" s="94" t="str">
        <x:v>BLOCK</x:v>
      </x:c>
      <x:c r="B182" s="94" t="str">
        <x:v>luxury_apartment_return</x:v>
      </x:c>
      <x:c r="C182" s="94" t="str">
        <x:v>talkFirst</x:v>
      </x:c>
      <x:c r="D182" s="94" t="str">
        <x:v>luxury_apartment</x:v>
      </x:c>
      <x:c r="E182" s="94" t="str">
        <x:v>enabled</x:v>
      </x:c>
      <x:c r="F182" s="94" t="str">
        <x:v>H-LUX-04</x:v>
      </x:c>
      <x:c r="G182" s="94" t="n">
        <x:v>300</x:v>
      </x:c>
      <x:c r="H182" s="94" t="n">
        <x:v>17</x:v>
      </x:c>
      <x:c r="I182" s="94" t="n">
        <x:v>2</x:v>
      </x:c>
      <x:c r="J182" s="94" t="str">
        <x:v>show-intro</x:v>
      </x:c>
      <x:c r="K182" s="94" t="str">
        <x:v>showIntro</x:v>
      </x:c>
      <x:c r="L182" s="94" t="str">
        <x:v>show-intro</x:v>
      </x:c>
      <x:c r="M182" s="94" t="str">
        <x:v>campaign.radio.programProgress.H-LUX-04</x:v>
      </x:c>
      <x:c r="N182" s="94" t="str">
        <x:v>tools/verify-radio-program.mjs · ordered playback receipt</x:v>
      </x:c>
    </x:row>
    <x:row r="183" ht="46" customHeight="1">
      <x:c r="A183" s="95" t="str">
        <x:v>BLOCK</x:v>
      </x:c>
      <x:c r="B183" s="95" t="str">
        <x:v>luxury_apartment_return</x:v>
      </x:c>
      <x:c r="C183" s="95" t="str">
        <x:v>talkFirst</x:v>
      </x:c>
      <x:c r="D183" s="95" t="str">
        <x:v>luxury_apartment</x:v>
      </x:c>
      <x:c r="E183" s="95" t="str">
        <x:v>enabled</x:v>
      </x:c>
      <x:c r="F183" s="95" t="str">
        <x:v>H-LUX-04</x:v>
      </x:c>
      <x:c r="G183" s="95" t="n">
        <x:v>300</x:v>
      </x:c>
      <x:c r="H183" s="95" t="n">
        <x:v>17</x:v>
      </x:c>
      <x:c r="I183" s="95" t="n">
        <x:v>3</x:v>
      </x:c>
      <x:c r="J183" s="95" t="str">
        <x:v>talk-01</x:v>
      </x:c>
      <x:c r="K183" s="95" t="str">
        <x:v>talk</x:v>
      </x:c>
      <x:c r="L183" s="95" t="str">
        <x:v>talk-01</x:v>
      </x:c>
      <x:c r="M183" s="95" t="str">
        <x:v>campaign.radio.programProgress.H-LUX-04</x:v>
      </x:c>
      <x:c r="N183" s="95" t="str">
        <x:v>tools/verify-radio-program.mjs · ordered playback receipt</x:v>
      </x:c>
    </x:row>
    <x:row r="184" ht="46" customHeight="1">
      <x:c r="A184" s="94" t="str">
        <x:v>BLOCK</x:v>
      </x:c>
      <x:c r="B184" s="94" t="str">
        <x:v>luxury_apartment_return</x:v>
      </x:c>
      <x:c r="C184" s="94" t="str">
        <x:v>talkFirst</x:v>
      </x:c>
      <x:c r="D184" s="94" t="str">
        <x:v>luxury_apartment</x:v>
      </x:c>
      <x:c r="E184" s="94" t="str">
        <x:v>enabled</x:v>
      </x:c>
      <x:c r="F184" s="94" t="str">
        <x:v>H-LUX-04</x:v>
      </x:c>
      <x:c r="G184" s="94" t="n">
        <x:v>300</x:v>
      </x:c>
      <x:c r="H184" s="94" t="n">
        <x:v>17</x:v>
      </x:c>
      <x:c r="I184" s="94" t="n">
        <x:v>4</x:v>
      </x:c>
      <x:c r="J184" s="94" t="str">
        <x:v>talk-02</x:v>
      </x:c>
      <x:c r="K184" s="94" t="str">
        <x:v>talk</x:v>
      </x:c>
      <x:c r="L184" s="94" t="str">
        <x:v>talk-02</x:v>
      </x:c>
      <x:c r="M184" s="94" t="str">
        <x:v>campaign.radio.programProgress.H-LUX-04</x:v>
      </x:c>
      <x:c r="N184" s="94" t="str">
        <x:v>tools/verify-radio-program.mjs · ordered playback receipt</x:v>
      </x:c>
    </x:row>
    <x:row r="185" ht="46" customHeight="1">
      <x:c r="A185" s="95" t="str">
        <x:v>BLOCK</x:v>
      </x:c>
      <x:c r="B185" s="95" t="str">
        <x:v>luxury_apartment_return</x:v>
      </x:c>
      <x:c r="C185" s="95" t="str">
        <x:v>talkFirst</x:v>
      </x:c>
      <x:c r="D185" s="95" t="str">
        <x:v>luxury_apartment</x:v>
      </x:c>
      <x:c r="E185" s="95" t="str">
        <x:v>enabled</x:v>
      </x:c>
      <x:c r="F185" s="95" t="str">
        <x:v>H-LUX-04</x:v>
      </x:c>
      <x:c r="G185" s="95" t="n">
        <x:v>300</x:v>
      </x:c>
      <x:c r="H185" s="95" t="n">
        <x:v>17</x:v>
      </x:c>
      <x:c r="I185" s="95" t="n">
        <x:v>5</x:v>
      </x:c>
      <x:c r="J185" s="95" t="str">
        <x:v>talk-03</x:v>
      </x:c>
      <x:c r="K185" s="95" t="str">
        <x:v>talk</x:v>
      </x:c>
      <x:c r="L185" s="95" t="str">
        <x:v>talk-03</x:v>
      </x:c>
      <x:c r="M185" s="95" t="str">
        <x:v>campaign.radio.programProgress.H-LUX-04</x:v>
      </x:c>
      <x:c r="N185" s="95" t="str">
        <x:v>tools/verify-radio-program.mjs · ordered playback receipt</x:v>
      </x:c>
    </x:row>
    <x:row r="186" ht="46" customHeight="1">
      <x:c r="A186" s="94" t="str">
        <x:v>BLOCK</x:v>
      </x:c>
      <x:c r="B186" s="94" t="str">
        <x:v>luxury_apartment_return</x:v>
      </x:c>
      <x:c r="C186" s="94" t="str">
        <x:v>talkFirst</x:v>
      </x:c>
      <x:c r="D186" s="94" t="str">
        <x:v>luxury_apartment</x:v>
      </x:c>
      <x:c r="E186" s="94" t="str">
        <x:v>enabled</x:v>
      </x:c>
      <x:c r="F186" s="94" t="str">
        <x:v>H-LUX-04</x:v>
      </x:c>
      <x:c r="G186" s="94" t="n">
        <x:v>300</x:v>
      </x:c>
      <x:c r="H186" s="94" t="n">
        <x:v>17</x:v>
      </x:c>
      <x:c r="I186" s="94" t="n">
        <x:v>6</x:v>
      </x:c>
      <x:c r="J186" s="94" t="str">
        <x:v>talk-04</x:v>
      </x:c>
      <x:c r="K186" s="94" t="str">
        <x:v>talk</x:v>
      </x:c>
      <x:c r="L186" s="94" t="str">
        <x:v>talk-04</x:v>
      </x:c>
      <x:c r="M186" s="94" t="str">
        <x:v>campaign.radio.programProgress.H-LUX-04</x:v>
      </x:c>
      <x:c r="N186" s="94" t="str">
        <x:v>tools/verify-radio-program.mjs · ordered playback receipt</x:v>
      </x:c>
    </x:row>
    <x:row r="187" ht="46" customHeight="1">
      <x:c r="A187" s="95" t="str">
        <x:v>BLOCK</x:v>
      </x:c>
      <x:c r="B187" s="95" t="str">
        <x:v>luxury_apartment_return</x:v>
      </x:c>
      <x:c r="C187" s="95" t="str">
        <x:v>talkFirst</x:v>
      </x:c>
      <x:c r="D187" s="95" t="str">
        <x:v>luxury_apartment</x:v>
      </x:c>
      <x:c r="E187" s="95" t="str">
        <x:v>enabled</x:v>
      </x:c>
      <x:c r="F187" s="95" t="str">
        <x:v>H-LUX-04</x:v>
      </x:c>
      <x:c r="G187" s="95" t="n">
        <x:v>300</x:v>
      </x:c>
      <x:c r="H187" s="95" t="n">
        <x:v>17</x:v>
      </x:c>
      <x:c r="I187" s="95" t="n">
        <x:v>7</x:v>
      </x:c>
      <x:c r="J187" s="95" t="str">
        <x:v>song-01</x:v>
      </x:c>
      <x:c r="K187" s="95" t="str">
        <x:v>song</x:v>
      </x:c>
      <x:c r="L187" s="95" t="str">
        <x:v>good-ole-days</x:v>
      </x:c>
      <x:c r="M187" s="95" t="str">
        <x:v>campaign.radio.programProgress.H-LUX-04</x:v>
      </x:c>
      <x:c r="N187" s="95" t="str">
        <x:v>tools/verify-radio-program.mjs · ordered playback receipt</x:v>
      </x:c>
    </x:row>
    <x:row r="188" ht="46" customHeight="1">
      <x:c r="A188" s="94" t="str">
        <x:v>BLOCK</x:v>
      </x:c>
      <x:c r="B188" s="94" t="str">
        <x:v>luxury_apartment_return</x:v>
      </x:c>
      <x:c r="C188" s="94" t="str">
        <x:v>talkFirst</x:v>
      </x:c>
      <x:c r="D188" s="94" t="str">
        <x:v>luxury_apartment</x:v>
      </x:c>
      <x:c r="E188" s="94" t="str">
        <x:v>enabled</x:v>
      </x:c>
      <x:c r="F188" s="94" t="str">
        <x:v>H-LUX-04</x:v>
      </x:c>
      <x:c r="G188" s="94" t="n">
        <x:v>300</x:v>
      </x:c>
      <x:c r="H188" s="94" t="n">
        <x:v>17</x:v>
      </x:c>
      <x:c r="I188" s="94" t="n">
        <x:v>8</x:v>
      </x:c>
      <x:c r="J188" s="94" t="str">
        <x:v>editorial</x:v>
      </x:c>
      <x:c r="K188" s="94" t="str">
        <x:v>news</x:v>
      </x:c>
      <x:c r="L188" s="94" t="str">
        <x:v>news.segment.lake</x:v>
      </x:c>
      <x:c r="M188" s="94" t="str">
        <x:v>campaign.radio.programProgress.H-LUX-04</x:v>
      </x:c>
      <x:c r="N188" s="94" t="str">
        <x:v>tools/verify-radio-program.mjs · ordered playback receipt</x:v>
      </x:c>
    </x:row>
    <x:row r="189" ht="46" customHeight="1">
      <x:c r="A189" s="95" t="str">
        <x:v>BLOCK</x:v>
      </x:c>
      <x:c r="B189" s="95" t="str">
        <x:v>luxury_apartment_return</x:v>
      </x:c>
      <x:c r="C189" s="95" t="str">
        <x:v>talkFirst</x:v>
      </x:c>
      <x:c r="D189" s="95" t="str">
        <x:v>luxury_apartment</x:v>
      </x:c>
      <x:c r="E189" s="95" t="str">
        <x:v>enabled</x:v>
      </x:c>
      <x:c r="F189" s="95" t="str">
        <x:v>H-LUX-04</x:v>
      </x:c>
      <x:c r="G189" s="95" t="n">
        <x:v>300</x:v>
      </x:c>
      <x:c r="H189" s="95" t="n">
        <x:v>17</x:v>
      </x:c>
      <x:c r="I189" s="95" t="n">
        <x:v>9</x:v>
      </x:c>
      <x:c r="J189" s="95" t="str">
        <x:v>talk-05</x:v>
      </x:c>
      <x:c r="K189" s="95" t="str">
        <x:v>talk</x:v>
      </x:c>
      <x:c r="L189" s="95" t="str">
        <x:v>talk-05</x:v>
      </x:c>
      <x:c r="M189" s="95" t="str">
        <x:v>campaign.radio.programProgress.H-LUX-04</x:v>
      </x:c>
      <x:c r="N189" s="95" t="str">
        <x:v>tools/verify-radio-program.mjs · ordered playback receipt</x:v>
      </x:c>
    </x:row>
    <x:row r="190" ht="46" customHeight="1">
      <x:c r="A190" s="94" t="str">
        <x:v>BLOCK</x:v>
      </x:c>
      <x:c r="B190" s="94" t="str">
        <x:v>luxury_apartment_return</x:v>
      </x:c>
      <x:c r="C190" s="94" t="str">
        <x:v>talkFirst</x:v>
      </x:c>
      <x:c r="D190" s="94" t="str">
        <x:v>luxury_apartment</x:v>
      </x:c>
      <x:c r="E190" s="94" t="str">
        <x:v>enabled</x:v>
      </x:c>
      <x:c r="F190" s="94" t="str">
        <x:v>H-LUX-04</x:v>
      </x:c>
      <x:c r="G190" s="94" t="n">
        <x:v>300</x:v>
      </x:c>
      <x:c r="H190" s="94" t="n">
        <x:v>17</x:v>
      </x:c>
      <x:c r="I190" s="94" t="n">
        <x:v>10</x:v>
      </x:c>
      <x:c r="J190" s="94" t="str">
        <x:v>talk-06</x:v>
      </x:c>
      <x:c r="K190" s="94" t="str">
        <x:v>talk</x:v>
      </x:c>
      <x:c r="L190" s="94" t="str">
        <x:v>talk-06</x:v>
      </x:c>
      <x:c r="M190" s="94" t="str">
        <x:v>campaign.radio.programProgress.H-LUX-04</x:v>
      </x:c>
      <x:c r="N190" s="94" t="str">
        <x:v>tools/verify-radio-program.mjs · ordered playback receipt</x:v>
      </x:c>
    </x:row>
    <x:row r="191" ht="46" customHeight="1">
      <x:c r="A191" s="95" t="str">
        <x:v>BLOCK</x:v>
      </x:c>
      <x:c r="B191" s="95" t="str">
        <x:v>luxury_apartment_return</x:v>
      </x:c>
      <x:c r="C191" s="95" t="str">
        <x:v>talkFirst</x:v>
      </x:c>
      <x:c r="D191" s="95" t="str">
        <x:v>luxury_apartment</x:v>
      </x:c>
      <x:c r="E191" s="95" t="str">
        <x:v>enabled</x:v>
      </x:c>
      <x:c r="F191" s="95" t="str">
        <x:v>H-LUX-04</x:v>
      </x:c>
      <x:c r="G191" s="95" t="n">
        <x:v>300</x:v>
      </x:c>
      <x:c r="H191" s="95" t="n">
        <x:v>17</x:v>
      </x:c>
      <x:c r="I191" s="95" t="n">
        <x:v>11</x:v>
      </x:c>
      <x:c r="J191" s="95" t="str">
        <x:v>talk-07</x:v>
      </x:c>
      <x:c r="K191" s="95" t="str">
        <x:v>talk</x:v>
      </x:c>
      <x:c r="L191" s="95" t="str">
        <x:v>talk-07</x:v>
      </x:c>
      <x:c r="M191" s="95" t="str">
        <x:v>campaign.radio.programProgress.H-LUX-04</x:v>
      </x:c>
      <x:c r="N191" s="95" t="str">
        <x:v>tools/verify-radio-program.mjs · ordered playback receipt</x:v>
      </x:c>
    </x:row>
    <x:row r="192" ht="46" customHeight="1">
      <x:c r="A192" s="94" t="str">
        <x:v>BLOCK</x:v>
      </x:c>
      <x:c r="B192" s="94" t="str">
        <x:v>luxury_apartment_return</x:v>
      </x:c>
      <x:c r="C192" s="94" t="str">
        <x:v>talkFirst</x:v>
      </x:c>
      <x:c r="D192" s="94" t="str">
        <x:v>luxury_apartment</x:v>
      </x:c>
      <x:c r="E192" s="94" t="str">
        <x:v>enabled</x:v>
      </x:c>
      <x:c r="F192" s="94" t="str">
        <x:v>H-LUX-04</x:v>
      </x:c>
      <x:c r="G192" s="94" t="n">
        <x:v>300</x:v>
      </x:c>
      <x:c r="H192" s="94" t="n">
        <x:v>17</x:v>
      </x:c>
      <x:c r="I192" s="94" t="n">
        <x:v>12</x:v>
      </x:c>
      <x:c r="J192" s="94" t="str">
        <x:v>talk-08</x:v>
      </x:c>
      <x:c r="K192" s="94" t="str">
        <x:v>talk</x:v>
      </x:c>
      <x:c r="L192" s="94" t="str">
        <x:v>talk-08</x:v>
      </x:c>
      <x:c r="M192" s="94" t="str">
        <x:v>campaign.radio.programProgress.H-LUX-04</x:v>
      </x:c>
      <x:c r="N192" s="94" t="str">
        <x:v>tools/verify-radio-program.mjs · ordered playback receipt</x:v>
      </x:c>
    </x:row>
    <x:row r="193" ht="46" customHeight="1">
      <x:c r="A193" s="95" t="str">
        <x:v>BLOCK</x:v>
      </x:c>
      <x:c r="B193" s="95" t="str">
        <x:v>luxury_apartment_return</x:v>
      </x:c>
      <x:c r="C193" s="95" t="str">
        <x:v>talkFirst</x:v>
      </x:c>
      <x:c r="D193" s="95" t="str">
        <x:v>luxury_apartment</x:v>
      </x:c>
      <x:c r="E193" s="95" t="str">
        <x:v>enabled</x:v>
      </x:c>
      <x:c r="F193" s="95" t="str">
        <x:v>H-LUX-04</x:v>
      </x:c>
      <x:c r="G193" s="95" t="n">
        <x:v>300</x:v>
      </x:c>
      <x:c r="H193" s="95" t="n">
        <x:v>17</x:v>
      </x:c>
      <x:c r="I193" s="95" t="n">
        <x:v>13</x:v>
      </x:c>
      <x:c r="J193" s="95" t="str">
        <x:v>song-02</x:v>
      </x:c>
      <x:c r="K193" s="95" t="str">
        <x:v>song</x:v>
      </x:c>
      <x:c r="L193" s="95" t="str">
        <x:v>through-the-night</x:v>
      </x:c>
      <x:c r="M193" s="95" t="str">
        <x:v>campaign.radio.programProgress.H-LUX-04</x:v>
      </x:c>
      <x:c r="N193" s="95" t="str">
        <x:v>tools/verify-radio-program.mjs · ordered playback receipt</x:v>
      </x:c>
    </x:row>
    <x:row r="194" ht="46" customHeight="1">
      <x:c r="A194" s="94" t="str">
        <x:v>BLOCK</x:v>
      </x:c>
      <x:c r="B194" s="94" t="str">
        <x:v>luxury_apartment_return</x:v>
      </x:c>
      <x:c r="C194" s="94" t="str">
        <x:v>talkFirst</x:v>
      </x:c>
      <x:c r="D194" s="94" t="str">
        <x:v>luxury_apartment</x:v>
      </x:c>
      <x:c r="E194" s="94" t="str">
        <x:v>enabled</x:v>
      </x:c>
      <x:c r="F194" s="94" t="str">
        <x:v>H-LUX-04</x:v>
      </x:c>
      <x:c r="G194" s="94" t="n">
        <x:v>300</x:v>
      </x:c>
      <x:c r="H194" s="94" t="n">
        <x:v>17</x:v>
      </x:c>
      <x:c r="I194" s="94" t="n">
        <x:v>14</x:v>
      </x:c>
      <x:c r="J194" s="94" t="str">
        <x:v>ad</x:v>
      </x:c>
      <x:c r="K194" s="94" t="str">
        <x:v>ad</x:v>
      </x:c>
      <x:c r="L194" s="94" t="str">
        <x:v>attorney</x:v>
      </x:c>
      <x:c r="M194" s="94" t="str">
        <x:v>campaign.radio.programProgress.H-LUX-04</x:v>
      </x:c>
      <x:c r="N194" s="94" t="str">
        <x:v>tools/verify-radio-program.mjs · ordered playback receipt</x:v>
      </x:c>
    </x:row>
    <x:row r="195" ht="46" customHeight="1">
      <x:c r="A195" s="95" t="str">
        <x:v>BLOCK</x:v>
      </x:c>
      <x:c r="B195" s="95" t="str">
        <x:v>luxury_apartment_return</x:v>
      </x:c>
      <x:c r="C195" s="95" t="str">
        <x:v>talkFirst</x:v>
      </x:c>
      <x:c r="D195" s="95" t="str">
        <x:v>luxury_apartment</x:v>
      </x:c>
      <x:c r="E195" s="95" t="str">
        <x:v>enabled</x:v>
      </x:c>
      <x:c r="F195" s="95" t="str">
        <x:v>H-LUX-04</x:v>
      </x:c>
      <x:c r="G195" s="95" t="n">
        <x:v>300</x:v>
      </x:c>
      <x:c r="H195" s="95" t="n">
        <x:v>17</x:v>
      </x:c>
      <x:c r="I195" s="95" t="n">
        <x:v>15</x:v>
      </x:c>
      <x:c r="J195" s="95" t="str">
        <x:v>handoff</x:v>
      </x:c>
      <x:c r="K195" s="95" t="str">
        <x:v>handoff</x:v>
      </x:c>
      <x:c r="L195" s="95" t="str">
        <x:v>handoff</x:v>
      </x:c>
      <x:c r="M195" s="95" t="str">
        <x:v>campaign.radio.programProgress.H-LUX-04</x:v>
      </x:c>
      <x:c r="N195" s="95" t="str">
        <x:v>tools/verify-radio-program.mjs · ordered playback receipt</x:v>
      </x:c>
    </x:row>
    <x:row r="196" ht="46" customHeight="1">
      <x:c r="A196" s="94" t="str">
        <x:v>PROGRAM</x:v>
      </x:c>
      <x:c r="B196" s="94" t="str">
        <x:v>silver_case_mansion</x:v>
      </x:c>
      <x:c r="C196" s="94" t="str">
        <x:v>talkFirst</x:v>
      </x:c>
      <x:c r="D196" s="94" t="str">
        <x:v>mansion_house</x:v>
      </x:c>
      <x:c r="E196" s="94" t="str">
        <x:v>enabled</x:v>
      </x:c>
      <x:c r="F196" s="94" t="str">
        <x:v>H-MAN-01</x:v>
      </x:c>
      <x:c r="G196" s="94" t="n">
        <x:v>300</x:v>
      </x:c>
      <x:c r="H196" s="94" t="n">
        <x:v>20</x:v>
      </x:c>
      <x:c r="I196" s="94" t="str"/>
      <x:c r="J196" s="94" t="str"/>
      <x:c r="K196" s="94" t="str"/>
      <x:c r="L196" s="94" t="str"/>
      <x:c r="M196" s="94" t="str">
        <x:v>campaign.radio.programProgress.H-MAN-01</x:v>
      </x:c>
      <x:c r="N196" s="94" t="str">
        <x:v>src/core/radio-program.js · RADIO_PROGRAMS</x:v>
      </x:c>
    </x:row>
    <x:row r="197" ht="46" customHeight="1">
      <x:c r="A197" s="95" t="str">
        <x:v>BLOCK</x:v>
      </x:c>
      <x:c r="B197" s="95" t="str">
        <x:v>silver_case_mansion</x:v>
      </x:c>
      <x:c r="C197" s="95" t="str">
        <x:v>talkFirst</x:v>
      </x:c>
      <x:c r="D197" s="95" t="str">
        <x:v>mansion_house</x:v>
      </x:c>
      <x:c r="E197" s="95" t="str">
        <x:v>enabled</x:v>
      </x:c>
      <x:c r="F197" s="95" t="str">
        <x:v>H-MAN-01</x:v>
      </x:c>
      <x:c r="G197" s="95" t="n">
        <x:v>300</x:v>
      </x:c>
      <x:c r="H197" s="95" t="n">
        <x:v>20</x:v>
      </x:c>
      <x:c r="I197" s="95" t="n">
        <x:v>1</x:v>
      </x:c>
      <x:c r="J197" s="95" t="str">
        <x:v>ident</x:v>
      </x:c>
      <x:c r="K197" s="95" t="str">
        <x:v>ident</x:v>
      </x:c>
      <x:c r="L197" s="95" t="str">
        <x:v>ident</x:v>
      </x:c>
      <x:c r="M197" s="95" t="str">
        <x:v>campaign.radio.programProgress.H-MAN-01</x:v>
      </x:c>
      <x:c r="N197" s="95" t="str">
        <x:v>tools/verify-radio-program.mjs · ordered playback receipt</x:v>
      </x:c>
    </x:row>
    <x:row r="198" ht="46" customHeight="1">
      <x:c r="A198" s="94" t="str">
        <x:v>BLOCK</x:v>
      </x:c>
      <x:c r="B198" s="94" t="str">
        <x:v>silver_case_mansion</x:v>
      </x:c>
      <x:c r="C198" s="94" t="str">
        <x:v>talkFirst</x:v>
      </x:c>
      <x:c r="D198" s="94" t="str">
        <x:v>mansion_house</x:v>
      </x:c>
      <x:c r="E198" s="94" t="str">
        <x:v>enabled</x:v>
      </x:c>
      <x:c r="F198" s="94" t="str">
        <x:v>H-MAN-01</x:v>
      </x:c>
      <x:c r="G198" s="94" t="n">
        <x:v>300</x:v>
      </x:c>
      <x:c r="H198" s="94" t="n">
        <x:v>20</x:v>
      </x:c>
      <x:c r="I198" s="94" t="n">
        <x:v>2</x:v>
      </x:c>
      <x:c r="J198" s="94" t="str">
        <x:v>show-intro</x:v>
      </x:c>
      <x:c r="K198" s="94" t="str">
        <x:v>showIntro</x:v>
      </x:c>
      <x:c r="L198" s="94" t="str">
        <x:v>show-intro</x:v>
      </x:c>
      <x:c r="M198" s="94" t="str">
        <x:v>campaign.radio.programProgress.H-MAN-01</x:v>
      </x:c>
      <x:c r="N198" s="94" t="str">
        <x:v>tools/verify-radio-program.mjs · ordered playback receipt</x:v>
      </x:c>
    </x:row>
    <x:row r="199" ht="46" customHeight="1">
      <x:c r="A199" s="95" t="str">
        <x:v>BLOCK</x:v>
      </x:c>
      <x:c r="B199" s="95" t="str">
        <x:v>silver_case_mansion</x:v>
      </x:c>
      <x:c r="C199" s="95" t="str">
        <x:v>talkFirst</x:v>
      </x:c>
      <x:c r="D199" s="95" t="str">
        <x:v>mansion_house</x:v>
      </x:c>
      <x:c r="E199" s="95" t="str">
        <x:v>enabled</x:v>
      </x:c>
      <x:c r="F199" s="95" t="str">
        <x:v>H-MAN-01</x:v>
      </x:c>
      <x:c r="G199" s="95" t="n">
        <x:v>300</x:v>
      </x:c>
      <x:c r="H199" s="95" t="n">
        <x:v>20</x:v>
      </x:c>
      <x:c r="I199" s="95" t="n">
        <x:v>3</x:v>
      </x:c>
      <x:c r="J199" s="95" t="str">
        <x:v>talk-01</x:v>
      </x:c>
      <x:c r="K199" s="95" t="str">
        <x:v>talk</x:v>
      </x:c>
      <x:c r="L199" s="95" t="str">
        <x:v>talk-01</x:v>
      </x:c>
      <x:c r="M199" s="95" t="str">
        <x:v>campaign.radio.programProgress.H-MAN-01</x:v>
      </x:c>
      <x:c r="N199" s="95" t="str">
        <x:v>tools/verify-radio-program.mjs · ordered playback receipt</x:v>
      </x:c>
    </x:row>
    <x:row r="200" ht="46" customHeight="1">
      <x:c r="A200" s="94" t="str">
        <x:v>BLOCK</x:v>
      </x:c>
      <x:c r="B200" s="94" t="str">
        <x:v>silver_case_mansion</x:v>
      </x:c>
      <x:c r="C200" s="94" t="str">
        <x:v>talkFirst</x:v>
      </x:c>
      <x:c r="D200" s="94" t="str">
        <x:v>mansion_house</x:v>
      </x:c>
      <x:c r="E200" s="94" t="str">
        <x:v>enabled</x:v>
      </x:c>
      <x:c r="F200" s="94" t="str">
        <x:v>H-MAN-01</x:v>
      </x:c>
      <x:c r="G200" s="94" t="n">
        <x:v>300</x:v>
      </x:c>
      <x:c r="H200" s="94" t="n">
        <x:v>20</x:v>
      </x:c>
      <x:c r="I200" s="94" t="n">
        <x:v>4</x:v>
      </x:c>
      <x:c r="J200" s="94" t="str">
        <x:v>talk-02</x:v>
      </x:c>
      <x:c r="K200" s="94" t="str">
        <x:v>talk</x:v>
      </x:c>
      <x:c r="L200" s="94" t="str">
        <x:v>talk-02</x:v>
      </x:c>
      <x:c r="M200" s="94" t="str">
        <x:v>campaign.radio.programProgress.H-MAN-01</x:v>
      </x:c>
      <x:c r="N200" s="94" t="str">
        <x:v>tools/verify-radio-program.mjs · ordered playback receipt</x:v>
      </x:c>
    </x:row>
    <x:row r="201" ht="46" customHeight="1">
      <x:c r="A201" s="95" t="str">
        <x:v>BLOCK</x:v>
      </x:c>
      <x:c r="B201" s="95" t="str">
        <x:v>silver_case_mansion</x:v>
      </x:c>
      <x:c r="C201" s="95" t="str">
        <x:v>talkFirst</x:v>
      </x:c>
      <x:c r="D201" s="95" t="str">
        <x:v>mansion_house</x:v>
      </x:c>
      <x:c r="E201" s="95" t="str">
        <x:v>enabled</x:v>
      </x:c>
      <x:c r="F201" s="95" t="str">
        <x:v>H-MAN-01</x:v>
      </x:c>
      <x:c r="G201" s="95" t="n">
        <x:v>300</x:v>
      </x:c>
      <x:c r="H201" s="95" t="n">
        <x:v>20</x:v>
      </x:c>
      <x:c r="I201" s="95" t="n">
        <x:v>5</x:v>
      </x:c>
      <x:c r="J201" s="95" t="str">
        <x:v>talk-03</x:v>
      </x:c>
      <x:c r="K201" s="95" t="str">
        <x:v>talk</x:v>
      </x:c>
      <x:c r="L201" s="95" t="str">
        <x:v>talk-03</x:v>
      </x:c>
      <x:c r="M201" s="95" t="str">
        <x:v>campaign.radio.programProgress.H-MAN-01</x:v>
      </x:c>
      <x:c r="N201" s="95" t="str">
        <x:v>tools/verify-radio-program.mjs · ordered playback receipt</x:v>
      </x:c>
    </x:row>
    <x:row r="202" ht="46" customHeight="1">
      <x:c r="A202" s="94" t="str">
        <x:v>BLOCK</x:v>
      </x:c>
      <x:c r="B202" s="94" t="str">
        <x:v>silver_case_mansion</x:v>
      </x:c>
      <x:c r="C202" s="94" t="str">
        <x:v>talkFirst</x:v>
      </x:c>
      <x:c r="D202" s="94" t="str">
        <x:v>mansion_house</x:v>
      </x:c>
      <x:c r="E202" s="94" t="str">
        <x:v>enabled</x:v>
      </x:c>
      <x:c r="F202" s="94" t="str">
        <x:v>H-MAN-01</x:v>
      </x:c>
      <x:c r="G202" s="94" t="n">
        <x:v>300</x:v>
      </x:c>
      <x:c r="H202" s="94" t="n">
        <x:v>20</x:v>
      </x:c>
      <x:c r="I202" s="94" t="n">
        <x:v>6</x:v>
      </x:c>
      <x:c r="J202" s="94" t="str">
        <x:v>talk-04</x:v>
      </x:c>
      <x:c r="K202" s="94" t="str">
        <x:v>talk</x:v>
      </x:c>
      <x:c r="L202" s="94" t="str">
        <x:v>talk-04</x:v>
      </x:c>
      <x:c r="M202" s="94" t="str">
        <x:v>campaign.radio.programProgress.H-MAN-01</x:v>
      </x:c>
      <x:c r="N202" s="94" t="str">
        <x:v>tools/verify-radio-program.mjs · ordered playback receipt</x:v>
      </x:c>
    </x:row>
    <x:row r="203" ht="46" customHeight="1">
      <x:c r="A203" s="95" t="str">
        <x:v>BLOCK</x:v>
      </x:c>
      <x:c r="B203" s="95" t="str">
        <x:v>silver_case_mansion</x:v>
      </x:c>
      <x:c r="C203" s="95" t="str">
        <x:v>talkFirst</x:v>
      </x:c>
      <x:c r="D203" s="95" t="str">
        <x:v>mansion_house</x:v>
      </x:c>
      <x:c r="E203" s="95" t="str">
        <x:v>enabled</x:v>
      </x:c>
      <x:c r="F203" s="95" t="str">
        <x:v>H-MAN-01</x:v>
      </x:c>
      <x:c r="G203" s="95" t="n">
        <x:v>300</x:v>
      </x:c>
      <x:c r="H203" s="95" t="n">
        <x:v>20</x:v>
      </x:c>
      <x:c r="I203" s="95" t="n">
        <x:v>7</x:v>
      </x:c>
      <x:c r="J203" s="95" t="str">
        <x:v>song-01</x:v>
      </x:c>
      <x:c r="K203" s="95" t="str">
        <x:v>song</x:v>
      </x:c>
      <x:c r="L203" s="95" t="str">
        <x:v>daydream-diner-2</x:v>
      </x:c>
      <x:c r="M203" s="95" t="str">
        <x:v>campaign.radio.programProgress.H-MAN-01</x:v>
      </x:c>
      <x:c r="N203" s="95" t="str">
        <x:v>tools/verify-radio-program.mjs · ordered playback receipt</x:v>
      </x:c>
    </x:row>
    <x:row r="204" ht="46" customHeight="1">
      <x:c r="A204" s="94" t="str">
        <x:v>BLOCK</x:v>
      </x:c>
      <x:c r="B204" s="94" t="str">
        <x:v>silver_case_mansion</x:v>
      </x:c>
      <x:c r="C204" s="94" t="str">
        <x:v>talkFirst</x:v>
      </x:c>
      <x:c r="D204" s="94" t="str">
        <x:v>mansion_house</x:v>
      </x:c>
      <x:c r="E204" s="94" t="str">
        <x:v>enabled</x:v>
      </x:c>
      <x:c r="F204" s="94" t="str">
        <x:v>H-MAN-01</x:v>
      </x:c>
      <x:c r="G204" s="94" t="n">
        <x:v>300</x:v>
      </x:c>
      <x:c r="H204" s="94" t="n">
        <x:v>20</x:v>
      </x:c>
      <x:c r="I204" s="94" t="n">
        <x:v>8</x:v>
      </x:c>
      <x:c r="J204" s="94" t="str">
        <x:v>editorial</x:v>
      </x:c>
      <x:c r="K204" s="94" t="str">
        <x:v>link</x:v>
      </x:c>
      <x:c r="L204" s="94" t="str">
        <x:v>editorial</x:v>
      </x:c>
      <x:c r="M204" s="94" t="str">
        <x:v>campaign.radio.programProgress.H-MAN-01</x:v>
      </x:c>
      <x:c r="N204" s="94" t="str">
        <x:v>tools/verify-radio-program.mjs · ordered playback receipt</x:v>
      </x:c>
    </x:row>
    <x:row r="205" ht="46" customHeight="1">
      <x:c r="A205" s="95" t="str">
        <x:v>BLOCK</x:v>
      </x:c>
      <x:c r="B205" s="95" t="str">
        <x:v>silver_case_mansion</x:v>
      </x:c>
      <x:c r="C205" s="95" t="str">
        <x:v>talkFirst</x:v>
      </x:c>
      <x:c r="D205" s="95" t="str">
        <x:v>mansion_house</x:v>
      </x:c>
      <x:c r="E205" s="95" t="str">
        <x:v>enabled</x:v>
      </x:c>
      <x:c r="F205" s="95" t="str">
        <x:v>H-MAN-01</x:v>
      </x:c>
      <x:c r="G205" s="95" t="n">
        <x:v>300</x:v>
      </x:c>
      <x:c r="H205" s="95" t="n">
        <x:v>20</x:v>
      </x:c>
      <x:c r="I205" s="95" t="n">
        <x:v>9</x:v>
      </x:c>
      <x:c r="J205" s="95" t="str">
        <x:v>talk-05</x:v>
      </x:c>
      <x:c r="K205" s="95" t="str">
        <x:v>talk</x:v>
      </x:c>
      <x:c r="L205" s="95" t="str">
        <x:v>talk-05</x:v>
      </x:c>
      <x:c r="M205" s="95" t="str">
        <x:v>campaign.radio.programProgress.H-MAN-01</x:v>
      </x:c>
      <x:c r="N205" s="95" t="str">
        <x:v>tools/verify-radio-program.mjs · ordered playback receipt</x:v>
      </x:c>
    </x:row>
    <x:row r="206" ht="46" customHeight="1">
      <x:c r="A206" s="94" t="str">
        <x:v>BLOCK</x:v>
      </x:c>
      <x:c r="B206" s="94" t="str">
        <x:v>silver_case_mansion</x:v>
      </x:c>
      <x:c r="C206" s="94" t="str">
        <x:v>talkFirst</x:v>
      </x:c>
      <x:c r="D206" s="94" t="str">
        <x:v>mansion_house</x:v>
      </x:c>
      <x:c r="E206" s="94" t="str">
        <x:v>enabled</x:v>
      </x:c>
      <x:c r="F206" s="94" t="str">
        <x:v>H-MAN-01</x:v>
      </x:c>
      <x:c r="G206" s="94" t="n">
        <x:v>300</x:v>
      </x:c>
      <x:c r="H206" s="94" t="n">
        <x:v>20</x:v>
      </x:c>
      <x:c r="I206" s="94" t="n">
        <x:v>10</x:v>
      </x:c>
      <x:c r="J206" s="94" t="str">
        <x:v>talk-06</x:v>
      </x:c>
      <x:c r="K206" s="94" t="str">
        <x:v>talk</x:v>
      </x:c>
      <x:c r="L206" s="94" t="str">
        <x:v>talk-06</x:v>
      </x:c>
      <x:c r="M206" s="94" t="str">
        <x:v>campaign.radio.programProgress.H-MAN-01</x:v>
      </x:c>
      <x:c r="N206" s="94" t="str">
        <x:v>tools/verify-radio-program.mjs · ordered playback receipt</x:v>
      </x:c>
    </x:row>
    <x:row r="207" ht="46" customHeight="1">
      <x:c r="A207" s="95" t="str">
        <x:v>BLOCK</x:v>
      </x:c>
      <x:c r="B207" s="95" t="str">
        <x:v>silver_case_mansion</x:v>
      </x:c>
      <x:c r="C207" s="95" t="str">
        <x:v>talkFirst</x:v>
      </x:c>
      <x:c r="D207" s="95" t="str">
        <x:v>mansion_house</x:v>
      </x:c>
      <x:c r="E207" s="95" t="str">
        <x:v>enabled</x:v>
      </x:c>
      <x:c r="F207" s="95" t="str">
        <x:v>H-MAN-01</x:v>
      </x:c>
      <x:c r="G207" s="95" t="n">
        <x:v>300</x:v>
      </x:c>
      <x:c r="H207" s="95" t="n">
        <x:v>20</x:v>
      </x:c>
      <x:c r="I207" s="95" t="n">
        <x:v>11</x:v>
      </x:c>
      <x:c r="J207" s="95" t="str">
        <x:v>talk-07</x:v>
      </x:c>
      <x:c r="K207" s="95" t="str">
        <x:v>talk</x:v>
      </x:c>
      <x:c r="L207" s="95" t="str">
        <x:v>talk-07</x:v>
      </x:c>
      <x:c r="M207" s="95" t="str">
        <x:v>campaign.radio.programProgress.H-MAN-01</x:v>
      </x:c>
      <x:c r="N207" s="95" t="str">
        <x:v>tools/verify-radio-program.mjs · ordered playback receipt</x:v>
      </x:c>
    </x:row>
    <x:row r="208" ht="46" customHeight="1">
      <x:c r="A208" s="94" t="str">
        <x:v>BLOCK</x:v>
      </x:c>
      <x:c r="B208" s="94" t="str">
        <x:v>silver_case_mansion</x:v>
      </x:c>
      <x:c r="C208" s="94" t="str">
        <x:v>talkFirst</x:v>
      </x:c>
      <x:c r="D208" s="94" t="str">
        <x:v>mansion_house</x:v>
      </x:c>
      <x:c r="E208" s="94" t="str">
        <x:v>enabled</x:v>
      </x:c>
      <x:c r="F208" s="94" t="str">
        <x:v>H-MAN-01</x:v>
      </x:c>
      <x:c r="G208" s="94" t="n">
        <x:v>300</x:v>
      </x:c>
      <x:c r="H208" s="94" t="n">
        <x:v>20</x:v>
      </x:c>
      <x:c r="I208" s="94" t="n">
        <x:v>12</x:v>
      </x:c>
      <x:c r="J208" s="94" t="str">
        <x:v>talk-08</x:v>
      </x:c>
      <x:c r="K208" s="94" t="str">
        <x:v>talk</x:v>
      </x:c>
      <x:c r="L208" s="94" t="str">
        <x:v>talk-08</x:v>
      </x:c>
      <x:c r="M208" s="94" t="str">
        <x:v>campaign.radio.programProgress.H-MAN-01</x:v>
      </x:c>
      <x:c r="N208" s="94" t="str">
        <x:v>tools/verify-radio-program.mjs · ordered playback receipt</x:v>
      </x:c>
    </x:row>
    <x:row r="209" ht="46" customHeight="1">
      <x:c r="A209" s="95" t="str">
        <x:v>BLOCK</x:v>
      </x:c>
      <x:c r="B209" s="95" t="str">
        <x:v>silver_case_mansion</x:v>
      </x:c>
      <x:c r="C209" s="95" t="str">
        <x:v>talkFirst</x:v>
      </x:c>
      <x:c r="D209" s="95" t="str">
        <x:v>mansion_house</x:v>
      </x:c>
      <x:c r="E209" s="95" t="str">
        <x:v>enabled</x:v>
      </x:c>
      <x:c r="F209" s="95" t="str">
        <x:v>H-MAN-01</x:v>
      </x:c>
      <x:c r="G209" s="95" t="n">
        <x:v>300</x:v>
      </x:c>
      <x:c r="H209" s="95" t="n">
        <x:v>20</x:v>
      </x:c>
      <x:c r="I209" s="95" t="n">
        <x:v>13</x:v>
      </x:c>
      <x:c r="J209" s="95" t="str">
        <x:v>song-02</x:v>
      </x:c>
      <x:c r="K209" s="95" t="str">
        <x:v>song</x:v>
      </x:c>
      <x:c r="L209" s="95" t="str">
        <x:v>good-ole-days</x:v>
      </x:c>
      <x:c r="M209" s="95" t="str">
        <x:v>campaign.radio.programProgress.H-MAN-01</x:v>
      </x:c>
      <x:c r="N209" s="95" t="str">
        <x:v>tools/verify-radio-program.mjs · ordered playback receipt</x:v>
      </x:c>
    </x:row>
    <x:row r="210" ht="46" customHeight="1">
      <x:c r="A210" s="94" t="str">
        <x:v>BLOCK</x:v>
      </x:c>
      <x:c r="B210" s="94" t="str">
        <x:v>silver_case_mansion</x:v>
      </x:c>
      <x:c r="C210" s="94" t="str">
        <x:v>talkFirst</x:v>
      </x:c>
      <x:c r="D210" s="94" t="str">
        <x:v>mansion_house</x:v>
      </x:c>
      <x:c r="E210" s="94" t="str">
        <x:v>enabled</x:v>
      </x:c>
      <x:c r="F210" s="94" t="str">
        <x:v>H-MAN-01</x:v>
      </x:c>
      <x:c r="G210" s="94" t="n">
        <x:v>300</x:v>
      </x:c>
      <x:c r="H210" s="94" t="n">
        <x:v>20</x:v>
      </x:c>
      <x:c r="I210" s="94" t="n">
        <x:v>14</x:v>
      </x:c>
      <x:c r="J210" s="94" t="str">
        <x:v>ad</x:v>
      </x:c>
      <x:c r="K210" s="94" t="str">
        <x:v>ad</x:v>
      </x:c>
      <x:c r="L210" s="94" t="str">
        <x:v>station.evening</x:v>
      </x:c>
      <x:c r="M210" s="94" t="str">
        <x:v>campaign.radio.programProgress.H-MAN-01</x:v>
      </x:c>
      <x:c r="N210" s="94" t="str">
        <x:v>tools/verify-radio-program.mjs · ordered playback receipt</x:v>
      </x:c>
    </x:row>
    <x:row r="211" ht="46" customHeight="1">
      <x:c r="A211" s="95" t="str">
        <x:v>BLOCK</x:v>
      </x:c>
      <x:c r="B211" s="95" t="str">
        <x:v>silver_case_mansion</x:v>
      </x:c>
      <x:c r="C211" s="95" t="str">
        <x:v>talkFirst</x:v>
      </x:c>
      <x:c r="D211" s="95" t="str">
        <x:v>mansion_house</x:v>
      </x:c>
      <x:c r="E211" s="95" t="str">
        <x:v>enabled</x:v>
      </x:c>
      <x:c r="F211" s="95" t="str">
        <x:v>H-MAN-01</x:v>
      </x:c>
      <x:c r="G211" s="95" t="n">
        <x:v>300</x:v>
      </x:c>
      <x:c r="H211" s="95" t="n">
        <x:v>20</x:v>
      </x:c>
      <x:c r="I211" s="95" t="n">
        <x:v>15</x:v>
      </x:c>
      <x:c r="J211" s="95" t="str">
        <x:v>handoff</x:v>
      </x:c>
      <x:c r="K211" s="95" t="str">
        <x:v>handoff</x:v>
      </x:c>
      <x:c r="L211" s="95" t="str">
        <x:v>handoff</x:v>
      </x:c>
      <x:c r="M211" s="95" t="str">
        <x:v>campaign.radio.programProgress.H-MAN-01</x:v>
      </x:c>
      <x:c r="N211" s="95" t="str">
        <x:v>tools/verify-radio-program.mjs · ordered playback receipt</x:v>
      </x:c>
    </x:row>
    <x:row r="212" ht="46" customHeight="1">
      <x:c r="A212" s="94" t="str">
        <x:v>PROGRAM</x:v>
      </x:c>
      <x:c r="B212" s="94" t="str">
        <x:v>mansion_return</x:v>
      </x:c>
      <x:c r="C212" s="94" t="str">
        <x:v>talkFirst</x:v>
      </x:c>
      <x:c r="D212" s="94" t="str">
        <x:v>mansion_house</x:v>
      </x:c>
      <x:c r="E212" s="94" t="str">
        <x:v>enabled</x:v>
      </x:c>
      <x:c r="F212" s="94" t="str">
        <x:v>H-MAN-02</x:v>
      </x:c>
      <x:c r="G212" s="94" t="n">
        <x:v>300</x:v>
      </x:c>
      <x:c r="H212" s="94" t="n">
        <x:v>18</x:v>
      </x:c>
      <x:c r="I212" s="94" t="str"/>
      <x:c r="J212" s="94" t="str"/>
      <x:c r="K212" s="94" t="str"/>
      <x:c r="L212" s="94" t="str"/>
      <x:c r="M212" s="94" t="str">
        <x:v>campaign.radio.programProgress.H-MAN-02</x:v>
      </x:c>
      <x:c r="N212" s="94" t="str">
        <x:v>src/core/radio-program.js · RADIO_PROGRAMS</x:v>
      </x:c>
    </x:row>
    <x:row r="213" ht="46" customHeight="1">
      <x:c r="A213" s="95" t="str">
        <x:v>BLOCK</x:v>
      </x:c>
      <x:c r="B213" s="95" t="str">
        <x:v>mansion_return</x:v>
      </x:c>
      <x:c r="C213" s="95" t="str">
        <x:v>talkFirst</x:v>
      </x:c>
      <x:c r="D213" s="95" t="str">
        <x:v>mansion_house</x:v>
      </x:c>
      <x:c r="E213" s="95" t="str">
        <x:v>enabled</x:v>
      </x:c>
      <x:c r="F213" s="95" t="str">
        <x:v>H-MAN-02</x:v>
      </x:c>
      <x:c r="G213" s="95" t="n">
        <x:v>300</x:v>
      </x:c>
      <x:c r="H213" s="95" t="n">
        <x:v>18</x:v>
      </x:c>
      <x:c r="I213" s="95" t="n">
        <x:v>1</x:v>
      </x:c>
      <x:c r="J213" s="95" t="str">
        <x:v>ident</x:v>
      </x:c>
      <x:c r="K213" s="95" t="str">
        <x:v>ident</x:v>
      </x:c>
      <x:c r="L213" s="95" t="str">
        <x:v>ident</x:v>
      </x:c>
      <x:c r="M213" s="95" t="str">
        <x:v>campaign.radio.programProgress.H-MAN-02</x:v>
      </x:c>
      <x:c r="N213" s="95" t="str">
        <x:v>tools/verify-radio-program.mjs · ordered playback receipt</x:v>
      </x:c>
    </x:row>
    <x:row r="214" ht="46" customHeight="1">
      <x:c r="A214" s="94" t="str">
        <x:v>BLOCK</x:v>
      </x:c>
      <x:c r="B214" s="94" t="str">
        <x:v>mansion_return</x:v>
      </x:c>
      <x:c r="C214" s="94" t="str">
        <x:v>talkFirst</x:v>
      </x:c>
      <x:c r="D214" s="94" t="str">
        <x:v>mansion_house</x:v>
      </x:c>
      <x:c r="E214" s="94" t="str">
        <x:v>enabled</x:v>
      </x:c>
      <x:c r="F214" s="94" t="str">
        <x:v>H-MAN-02</x:v>
      </x:c>
      <x:c r="G214" s="94" t="n">
        <x:v>300</x:v>
      </x:c>
      <x:c r="H214" s="94" t="n">
        <x:v>18</x:v>
      </x:c>
      <x:c r="I214" s="94" t="n">
        <x:v>2</x:v>
      </x:c>
      <x:c r="J214" s="94" t="str">
        <x:v>show-intro</x:v>
      </x:c>
      <x:c r="K214" s="94" t="str">
        <x:v>showIntro</x:v>
      </x:c>
      <x:c r="L214" s="94" t="str">
        <x:v>show-intro</x:v>
      </x:c>
      <x:c r="M214" s="94" t="str">
        <x:v>campaign.radio.programProgress.H-MAN-02</x:v>
      </x:c>
      <x:c r="N214" s="94" t="str">
        <x:v>tools/verify-radio-program.mjs · ordered playback receipt</x:v>
      </x:c>
    </x:row>
    <x:row r="215" ht="46" customHeight="1">
      <x:c r="A215" s="95" t="str">
        <x:v>BLOCK</x:v>
      </x:c>
      <x:c r="B215" s="95" t="str">
        <x:v>mansion_return</x:v>
      </x:c>
      <x:c r="C215" s="95" t="str">
        <x:v>talkFirst</x:v>
      </x:c>
      <x:c r="D215" s="95" t="str">
        <x:v>mansion_house</x:v>
      </x:c>
      <x:c r="E215" s="95" t="str">
        <x:v>enabled</x:v>
      </x:c>
      <x:c r="F215" s="95" t="str">
        <x:v>H-MAN-02</x:v>
      </x:c>
      <x:c r="G215" s="95" t="n">
        <x:v>300</x:v>
      </x:c>
      <x:c r="H215" s="95" t="n">
        <x:v>18</x:v>
      </x:c>
      <x:c r="I215" s="95" t="n">
        <x:v>3</x:v>
      </x:c>
      <x:c r="J215" s="95" t="str">
        <x:v>talk-01</x:v>
      </x:c>
      <x:c r="K215" s="95" t="str">
        <x:v>talk</x:v>
      </x:c>
      <x:c r="L215" s="95" t="str">
        <x:v>talk-01</x:v>
      </x:c>
      <x:c r="M215" s="95" t="str">
        <x:v>campaign.radio.programProgress.H-MAN-02</x:v>
      </x:c>
      <x:c r="N215" s="95" t="str">
        <x:v>tools/verify-radio-program.mjs · ordered playback receipt</x:v>
      </x:c>
    </x:row>
    <x:row r="216" ht="46" customHeight="1">
      <x:c r="A216" s="94" t="str">
        <x:v>BLOCK</x:v>
      </x:c>
      <x:c r="B216" s="94" t="str">
        <x:v>mansion_return</x:v>
      </x:c>
      <x:c r="C216" s="94" t="str">
        <x:v>talkFirst</x:v>
      </x:c>
      <x:c r="D216" s="94" t="str">
        <x:v>mansion_house</x:v>
      </x:c>
      <x:c r="E216" s="94" t="str">
        <x:v>enabled</x:v>
      </x:c>
      <x:c r="F216" s="94" t="str">
        <x:v>H-MAN-02</x:v>
      </x:c>
      <x:c r="G216" s="94" t="n">
        <x:v>300</x:v>
      </x:c>
      <x:c r="H216" s="94" t="n">
        <x:v>18</x:v>
      </x:c>
      <x:c r="I216" s="94" t="n">
        <x:v>4</x:v>
      </x:c>
      <x:c r="J216" s="94" t="str">
        <x:v>talk-02</x:v>
      </x:c>
      <x:c r="K216" s="94" t="str">
        <x:v>talk</x:v>
      </x:c>
      <x:c r="L216" s="94" t="str">
        <x:v>talk-02</x:v>
      </x:c>
      <x:c r="M216" s="94" t="str">
        <x:v>campaign.radio.programProgress.H-MAN-02</x:v>
      </x:c>
      <x:c r="N216" s="94" t="str">
        <x:v>tools/verify-radio-program.mjs · ordered playback receipt</x:v>
      </x:c>
    </x:row>
    <x:row r="217" ht="46" customHeight="1">
      <x:c r="A217" s="95" t="str">
        <x:v>BLOCK</x:v>
      </x:c>
      <x:c r="B217" s="95" t="str">
        <x:v>mansion_return</x:v>
      </x:c>
      <x:c r="C217" s="95" t="str">
        <x:v>talkFirst</x:v>
      </x:c>
      <x:c r="D217" s="95" t="str">
        <x:v>mansion_house</x:v>
      </x:c>
      <x:c r="E217" s="95" t="str">
        <x:v>enabled</x:v>
      </x:c>
      <x:c r="F217" s="95" t="str">
        <x:v>H-MAN-02</x:v>
      </x:c>
      <x:c r="G217" s="95" t="n">
        <x:v>300</x:v>
      </x:c>
      <x:c r="H217" s="95" t="n">
        <x:v>18</x:v>
      </x:c>
      <x:c r="I217" s="95" t="n">
        <x:v>5</x:v>
      </x:c>
      <x:c r="J217" s="95" t="str">
        <x:v>talk-03</x:v>
      </x:c>
      <x:c r="K217" s="95" t="str">
        <x:v>talk</x:v>
      </x:c>
      <x:c r="L217" s="95" t="str">
        <x:v>talk-03</x:v>
      </x:c>
      <x:c r="M217" s="95" t="str">
        <x:v>campaign.radio.programProgress.H-MAN-02</x:v>
      </x:c>
      <x:c r="N217" s="95" t="str">
        <x:v>tools/verify-radio-program.mjs · ordered playback receipt</x:v>
      </x:c>
    </x:row>
    <x:row r="218" ht="46" customHeight="1">
      <x:c r="A218" s="94" t="str">
        <x:v>BLOCK</x:v>
      </x:c>
      <x:c r="B218" s="94" t="str">
        <x:v>mansion_return</x:v>
      </x:c>
      <x:c r="C218" s="94" t="str">
        <x:v>talkFirst</x:v>
      </x:c>
      <x:c r="D218" s="94" t="str">
        <x:v>mansion_house</x:v>
      </x:c>
      <x:c r="E218" s="94" t="str">
        <x:v>enabled</x:v>
      </x:c>
      <x:c r="F218" s="94" t="str">
        <x:v>H-MAN-02</x:v>
      </x:c>
      <x:c r="G218" s="94" t="n">
        <x:v>300</x:v>
      </x:c>
      <x:c r="H218" s="94" t="n">
        <x:v>18</x:v>
      </x:c>
      <x:c r="I218" s="94" t="n">
        <x:v>6</x:v>
      </x:c>
      <x:c r="J218" s="94" t="str">
        <x:v>talk-04</x:v>
      </x:c>
      <x:c r="K218" s="94" t="str">
        <x:v>talk</x:v>
      </x:c>
      <x:c r="L218" s="94" t="str">
        <x:v>talk-04</x:v>
      </x:c>
      <x:c r="M218" s="94" t="str">
        <x:v>campaign.radio.programProgress.H-MAN-02</x:v>
      </x:c>
      <x:c r="N218" s="94" t="str">
        <x:v>tools/verify-radio-program.mjs · ordered playback receipt</x:v>
      </x:c>
    </x:row>
    <x:row r="219" ht="46" customHeight="1">
      <x:c r="A219" s="95" t="str">
        <x:v>BLOCK</x:v>
      </x:c>
      <x:c r="B219" s="95" t="str">
        <x:v>mansion_return</x:v>
      </x:c>
      <x:c r="C219" s="95" t="str">
        <x:v>talkFirst</x:v>
      </x:c>
      <x:c r="D219" s="95" t="str">
        <x:v>mansion_house</x:v>
      </x:c>
      <x:c r="E219" s="95" t="str">
        <x:v>enabled</x:v>
      </x:c>
      <x:c r="F219" s="95" t="str">
        <x:v>H-MAN-02</x:v>
      </x:c>
      <x:c r="G219" s="95" t="n">
        <x:v>300</x:v>
      </x:c>
      <x:c r="H219" s="95" t="n">
        <x:v>18</x:v>
      </x:c>
      <x:c r="I219" s="95" t="n">
        <x:v>7</x:v>
      </x:c>
      <x:c r="J219" s="95" t="str">
        <x:v>song-01</x:v>
      </x:c>
      <x:c r="K219" s="95" t="str">
        <x:v>song</x:v>
      </x:c>
      <x:c r="L219" s="95" t="str">
        <x:v>daydream-diner-2</x:v>
      </x:c>
      <x:c r="M219" s="95" t="str">
        <x:v>campaign.radio.programProgress.H-MAN-02</x:v>
      </x:c>
      <x:c r="N219" s="95" t="str">
        <x:v>tools/verify-radio-program.mjs · ordered playback receipt</x:v>
      </x:c>
    </x:row>
    <x:row r="220" ht="46" customHeight="1">
      <x:c r="A220" s="94" t="str">
        <x:v>BLOCK</x:v>
      </x:c>
      <x:c r="B220" s="94" t="str">
        <x:v>mansion_return</x:v>
      </x:c>
      <x:c r="C220" s="94" t="str">
        <x:v>talkFirst</x:v>
      </x:c>
      <x:c r="D220" s="94" t="str">
        <x:v>mansion_house</x:v>
      </x:c>
      <x:c r="E220" s="94" t="str">
        <x:v>enabled</x:v>
      </x:c>
      <x:c r="F220" s="94" t="str">
        <x:v>H-MAN-02</x:v>
      </x:c>
      <x:c r="G220" s="94" t="n">
        <x:v>300</x:v>
      </x:c>
      <x:c r="H220" s="94" t="n">
        <x:v>18</x:v>
      </x:c>
      <x:c r="I220" s="94" t="n">
        <x:v>8</x:v>
      </x:c>
      <x:c r="J220" s="94" t="str">
        <x:v>editorial</x:v>
      </x:c>
      <x:c r="K220" s="94" t="str">
        <x:v>news</x:v>
      </x:c>
      <x:c r="L220" s="94" t="str">
        <x:v>news.segment.detonation</x:v>
      </x:c>
      <x:c r="M220" s="94" t="str">
        <x:v>campaign.radio.programProgress.H-MAN-02</x:v>
      </x:c>
      <x:c r="N220" s="94" t="str">
        <x:v>tools/verify-radio-program.mjs · ordered playback receipt</x:v>
      </x:c>
    </x:row>
    <x:row r="221" ht="46" customHeight="1">
      <x:c r="A221" s="95" t="str">
        <x:v>BLOCK</x:v>
      </x:c>
      <x:c r="B221" s="95" t="str">
        <x:v>mansion_return</x:v>
      </x:c>
      <x:c r="C221" s="95" t="str">
        <x:v>talkFirst</x:v>
      </x:c>
      <x:c r="D221" s="95" t="str">
        <x:v>mansion_house</x:v>
      </x:c>
      <x:c r="E221" s="95" t="str">
        <x:v>enabled</x:v>
      </x:c>
      <x:c r="F221" s="95" t="str">
        <x:v>H-MAN-02</x:v>
      </x:c>
      <x:c r="G221" s="95" t="n">
        <x:v>300</x:v>
      </x:c>
      <x:c r="H221" s="95" t="n">
        <x:v>18</x:v>
      </x:c>
      <x:c r="I221" s="95" t="n">
        <x:v>9</x:v>
      </x:c>
      <x:c r="J221" s="95" t="str">
        <x:v>talk-05</x:v>
      </x:c>
      <x:c r="K221" s="95" t="str">
        <x:v>talk</x:v>
      </x:c>
      <x:c r="L221" s="95" t="str">
        <x:v>talk-05</x:v>
      </x:c>
      <x:c r="M221" s="95" t="str">
        <x:v>campaign.radio.programProgress.H-MAN-02</x:v>
      </x:c>
      <x:c r="N221" s="95" t="str">
        <x:v>tools/verify-radio-program.mjs · ordered playback receipt</x:v>
      </x:c>
    </x:row>
    <x:row r="222" ht="46" customHeight="1">
      <x:c r="A222" s="94" t="str">
        <x:v>BLOCK</x:v>
      </x:c>
      <x:c r="B222" s="94" t="str">
        <x:v>mansion_return</x:v>
      </x:c>
      <x:c r="C222" s="94" t="str">
        <x:v>talkFirst</x:v>
      </x:c>
      <x:c r="D222" s="94" t="str">
        <x:v>mansion_house</x:v>
      </x:c>
      <x:c r="E222" s="94" t="str">
        <x:v>enabled</x:v>
      </x:c>
      <x:c r="F222" s="94" t="str">
        <x:v>H-MAN-02</x:v>
      </x:c>
      <x:c r="G222" s="94" t="n">
        <x:v>300</x:v>
      </x:c>
      <x:c r="H222" s="94" t="n">
        <x:v>18</x:v>
      </x:c>
      <x:c r="I222" s="94" t="n">
        <x:v>10</x:v>
      </x:c>
      <x:c r="J222" s="94" t="str">
        <x:v>talk-06</x:v>
      </x:c>
      <x:c r="K222" s="94" t="str">
        <x:v>talk</x:v>
      </x:c>
      <x:c r="L222" s="94" t="str">
        <x:v>talk-06</x:v>
      </x:c>
      <x:c r="M222" s="94" t="str">
        <x:v>campaign.radio.programProgress.H-MAN-02</x:v>
      </x:c>
      <x:c r="N222" s="94" t="str">
        <x:v>tools/verify-radio-program.mjs · ordered playback receipt</x:v>
      </x:c>
    </x:row>
    <x:row r="223" ht="46" customHeight="1">
      <x:c r="A223" s="95" t="str">
        <x:v>BLOCK</x:v>
      </x:c>
      <x:c r="B223" s="95" t="str">
        <x:v>mansion_return</x:v>
      </x:c>
      <x:c r="C223" s="95" t="str">
        <x:v>talkFirst</x:v>
      </x:c>
      <x:c r="D223" s="95" t="str">
        <x:v>mansion_house</x:v>
      </x:c>
      <x:c r="E223" s="95" t="str">
        <x:v>enabled</x:v>
      </x:c>
      <x:c r="F223" s="95" t="str">
        <x:v>H-MAN-02</x:v>
      </x:c>
      <x:c r="G223" s="95" t="n">
        <x:v>300</x:v>
      </x:c>
      <x:c r="H223" s="95" t="n">
        <x:v>18</x:v>
      </x:c>
      <x:c r="I223" s="95" t="n">
        <x:v>11</x:v>
      </x:c>
      <x:c r="J223" s="95" t="str">
        <x:v>talk-07</x:v>
      </x:c>
      <x:c r="K223" s="95" t="str">
        <x:v>talk</x:v>
      </x:c>
      <x:c r="L223" s="95" t="str">
        <x:v>talk-07</x:v>
      </x:c>
      <x:c r="M223" s="95" t="str">
        <x:v>campaign.radio.programProgress.H-MAN-02</x:v>
      </x:c>
      <x:c r="N223" s="95" t="str">
        <x:v>tools/verify-radio-program.mjs · ordered playback receipt</x:v>
      </x:c>
    </x:row>
    <x:row r="224" ht="46" customHeight="1">
      <x:c r="A224" s="94" t="str">
        <x:v>BLOCK</x:v>
      </x:c>
      <x:c r="B224" s="94" t="str">
        <x:v>mansion_return</x:v>
      </x:c>
      <x:c r="C224" s="94" t="str">
        <x:v>talkFirst</x:v>
      </x:c>
      <x:c r="D224" s="94" t="str">
        <x:v>mansion_house</x:v>
      </x:c>
      <x:c r="E224" s="94" t="str">
        <x:v>enabled</x:v>
      </x:c>
      <x:c r="F224" s="94" t="str">
        <x:v>H-MAN-02</x:v>
      </x:c>
      <x:c r="G224" s="94" t="n">
        <x:v>300</x:v>
      </x:c>
      <x:c r="H224" s="94" t="n">
        <x:v>18</x:v>
      </x:c>
      <x:c r="I224" s="94" t="n">
        <x:v>12</x:v>
      </x:c>
      <x:c r="J224" s="94" t="str">
        <x:v>talk-08</x:v>
      </x:c>
      <x:c r="K224" s="94" t="str">
        <x:v>talk</x:v>
      </x:c>
      <x:c r="L224" s="94" t="str">
        <x:v>talk-08</x:v>
      </x:c>
      <x:c r="M224" s="94" t="str">
        <x:v>campaign.radio.programProgress.H-MAN-02</x:v>
      </x:c>
      <x:c r="N224" s="94" t="str">
        <x:v>tools/verify-radio-program.mjs · ordered playback receipt</x:v>
      </x:c>
    </x:row>
    <x:row r="225" ht="46" customHeight="1">
      <x:c r="A225" s="95" t="str">
        <x:v>BLOCK</x:v>
      </x:c>
      <x:c r="B225" s="95" t="str">
        <x:v>mansion_return</x:v>
      </x:c>
      <x:c r="C225" s="95" t="str">
        <x:v>talkFirst</x:v>
      </x:c>
      <x:c r="D225" s="95" t="str">
        <x:v>mansion_house</x:v>
      </x:c>
      <x:c r="E225" s="95" t="str">
        <x:v>enabled</x:v>
      </x:c>
      <x:c r="F225" s="95" t="str">
        <x:v>H-MAN-02</x:v>
      </x:c>
      <x:c r="G225" s="95" t="n">
        <x:v>300</x:v>
      </x:c>
      <x:c r="H225" s="95" t="n">
        <x:v>18</x:v>
      </x:c>
      <x:c r="I225" s="95" t="n">
        <x:v>13</x:v>
      </x:c>
      <x:c r="J225" s="95" t="str">
        <x:v>song-02</x:v>
      </x:c>
      <x:c r="K225" s="95" t="str">
        <x:v>song</x:v>
      </x:c>
      <x:c r="L225" s="95" t="str">
        <x:v>through-the-night</x:v>
      </x:c>
      <x:c r="M225" s="95" t="str">
        <x:v>campaign.radio.programProgress.H-MAN-02</x:v>
      </x:c>
      <x:c r="N225" s="95" t="str">
        <x:v>tools/verify-radio-program.mjs · ordered playback receipt</x:v>
      </x:c>
    </x:row>
    <x:row r="226" ht="46" customHeight="1">
      <x:c r="A226" s="94" t="str">
        <x:v>BLOCK</x:v>
      </x:c>
      <x:c r="B226" s="94" t="str">
        <x:v>mansion_return</x:v>
      </x:c>
      <x:c r="C226" s="94" t="str">
        <x:v>talkFirst</x:v>
      </x:c>
      <x:c r="D226" s="94" t="str">
        <x:v>mansion_house</x:v>
      </x:c>
      <x:c r="E226" s="94" t="str">
        <x:v>enabled</x:v>
      </x:c>
      <x:c r="F226" s="94" t="str">
        <x:v>H-MAN-02</x:v>
      </x:c>
      <x:c r="G226" s="94" t="n">
        <x:v>300</x:v>
      </x:c>
      <x:c r="H226" s="94" t="n">
        <x:v>18</x:v>
      </x:c>
      <x:c r="I226" s="94" t="n">
        <x:v>14</x:v>
      </x:c>
      <x:c r="J226" s="94" t="str">
        <x:v>ad</x:v>
      </x:c>
      <x:c r="K226" s="94" t="str">
        <x:v>ad</x:v>
      </x:c>
      <x:c r="L226" s="94" t="str">
        <x:v>dealership</x:v>
      </x:c>
      <x:c r="M226" s="94" t="str">
        <x:v>campaign.radio.programProgress.H-MAN-02</x:v>
      </x:c>
      <x:c r="N226" s="94" t="str">
        <x:v>tools/verify-radio-program.mjs · ordered playback receipt</x:v>
      </x:c>
    </x:row>
    <x:row r="227" ht="46" customHeight="1">
      <x:c r="A227" s="95" t="str">
        <x:v>BLOCK</x:v>
      </x:c>
      <x:c r="B227" s="95" t="str">
        <x:v>mansion_return</x:v>
      </x:c>
      <x:c r="C227" s="95" t="str">
        <x:v>talkFirst</x:v>
      </x:c>
      <x:c r="D227" s="95" t="str">
        <x:v>mansion_house</x:v>
      </x:c>
      <x:c r="E227" s="95" t="str">
        <x:v>enabled</x:v>
      </x:c>
      <x:c r="F227" s="95" t="str">
        <x:v>H-MAN-02</x:v>
      </x:c>
      <x:c r="G227" s="95" t="n">
        <x:v>300</x:v>
      </x:c>
      <x:c r="H227" s="95" t="n">
        <x:v>18</x:v>
      </x:c>
      <x:c r="I227" s="95" t="n">
        <x:v>15</x:v>
      </x:c>
      <x:c r="J227" s="95" t="str">
        <x:v>handoff</x:v>
      </x:c>
      <x:c r="K227" s="95" t="str">
        <x:v>handoff</x:v>
      </x:c>
      <x:c r="L227" s="95" t="str">
        <x:v>handoff</x:v>
      </x:c>
      <x:c r="M227" s="95" t="str">
        <x:v>campaign.radio.programProgress.H-MAN-02</x:v>
      </x:c>
      <x:c r="N227" s="95" t="str">
        <x:v>tools/verify-radio-program.mjs · ordered playback receipt</x:v>
      </x:c>
    </x:row>
    <x:row r="228" ht="46" customHeight="1">
      <x:c r="A228" s="94" t="str">
        <x:v>PROGRAM</x:v>
      </x:c>
      <x:c r="B228" s="94" t="str">
        <x:v>special_meeting_call</x:v>
      </x:c>
      <x:c r="C228" s="94" t="str">
        <x:v>talkFirst</x:v>
      </x:c>
      <x:c r="D228" s="94" t="str">
        <x:v>luxury_apartment</x:v>
      </x:c>
      <x:c r="E228" s="94" t="str">
        <x:v>enabled</x:v>
      </x:c>
      <x:c r="F228" s="94" t="str">
        <x:v>H-LUX-05</x:v>
      </x:c>
      <x:c r="G228" s="94" t="n">
        <x:v>300</x:v>
      </x:c>
      <x:c r="H228" s="94" t="n">
        <x:v>20</x:v>
      </x:c>
      <x:c r="I228" s="94" t="str"/>
      <x:c r="J228" s="94" t="str"/>
      <x:c r="K228" s="94" t="str"/>
      <x:c r="L228" s="94" t="str"/>
      <x:c r="M228" s="94" t="str">
        <x:v>campaign.radio.programProgress.H-LUX-05</x:v>
      </x:c>
      <x:c r="N228" s="94" t="str">
        <x:v>src/core/radio-program.js · RADIO_PROGRAMS</x:v>
      </x:c>
    </x:row>
    <x:row r="229" ht="46" customHeight="1">
      <x:c r="A229" s="95" t="str">
        <x:v>BLOCK</x:v>
      </x:c>
      <x:c r="B229" s="95" t="str">
        <x:v>special_meeting_call</x:v>
      </x:c>
      <x:c r="C229" s="95" t="str">
        <x:v>talkFirst</x:v>
      </x:c>
      <x:c r="D229" s="95" t="str">
        <x:v>luxury_apartment</x:v>
      </x:c>
      <x:c r="E229" s="95" t="str">
        <x:v>enabled</x:v>
      </x:c>
      <x:c r="F229" s="95" t="str">
        <x:v>H-LUX-05</x:v>
      </x:c>
      <x:c r="G229" s="95" t="n">
        <x:v>300</x:v>
      </x:c>
      <x:c r="H229" s="95" t="n">
        <x:v>20</x:v>
      </x:c>
      <x:c r="I229" s="95" t="n">
        <x:v>1</x:v>
      </x:c>
      <x:c r="J229" s="95" t="str">
        <x:v>ident</x:v>
      </x:c>
      <x:c r="K229" s="95" t="str">
        <x:v>ident</x:v>
      </x:c>
      <x:c r="L229" s="95" t="str">
        <x:v>ident</x:v>
      </x:c>
      <x:c r="M229" s="95" t="str">
        <x:v>campaign.radio.programProgress.H-LUX-05</x:v>
      </x:c>
      <x:c r="N229" s="95" t="str">
        <x:v>tools/verify-radio-program.mjs · ordered playback receipt</x:v>
      </x:c>
    </x:row>
    <x:row r="230" ht="46" customHeight="1">
      <x:c r="A230" s="94" t="str">
        <x:v>BLOCK</x:v>
      </x:c>
      <x:c r="B230" s="94" t="str">
        <x:v>special_meeting_call</x:v>
      </x:c>
      <x:c r="C230" s="94" t="str">
        <x:v>talkFirst</x:v>
      </x:c>
      <x:c r="D230" s="94" t="str">
        <x:v>luxury_apartment</x:v>
      </x:c>
      <x:c r="E230" s="94" t="str">
        <x:v>enabled</x:v>
      </x:c>
      <x:c r="F230" s="94" t="str">
        <x:v>H-LUX-05</x:v>
      </x:c>
      <x:c r="G230" s="94" t="n">
        <x:v>300</x:v>
      </x:c>
      <x:c r="H230" s="94" t="n">
        <x:v>20</x:v>
      </x:c>
      <x:c r="I230" s="94" t="n">
        <x:v>2</x:v>
      </x:c>
      <x:c r="J230" s="94" t="str">
        <x:v>show-intro</x:v>
      </x:c>
      <x:c r="K230" s="94" t="str">
        <x:v>showIntro</x:v>
      </x:c>
      <x:c r="L230" s="94" t="str">
        <x:v>show-intro</x:v>
      </x:c>
      <x:c r="M230" s="94" t="str">
        <x:v>campaign.radio.programProgress.H-LUX-05</x:v>
      </x:c>
      <x:c r="N230" s="94" t="str">
        <x:v>tools/verify-radio-program.mjs · ordered playback receipt</x:v>
      </x:c>
    </x:row>
    <x:row r="231" ht="46" customHeight="1">
      <x:c r="A231" s="95" t="str">
        <x:v>BLOCK</x:v>
      </x:c>
      <x:c r="B231" s="95" t="str">
        <x:v>special_meeting_call</x:v>
      </x:c>
      <x:c r="C231" s="95" t="str">
        <x:v>talkFirst</x:v>
      </x:c>
      <x:c r="D231" s="95" t="str">
        <x:v>luxury_apartment</x:v>
      </x:c>
      <x:c r="E231" s="95" t="str">
        <x:v>enabled</x:v>
      </x:c>
      <x:c r="F231" s="95" t="str">
        <x:v>H-LUX-05</x:v>
      </x:c>
      <x:c r="G231" s="95" t="n">
        <x:v>300</x:v>
      </x:c>
      <x:c r="H231" s="95" t="n">
        <x:v>20</x:v>
      </x:c>
      <x:c r="I231" s="95" t="n">
        <x:v>3</x:v>
      </x:c>
      <x:c r="J231" s="95" t="str">
        <x:v>talk-01</x:v>
      </x:c>
      <x:c r="K231" s="95" t="str">
        <x:v>talk</x:v>
      </x:c>
      <x:c r="L231" s="95" t="str">
        <x:v>talk-01</x:v>
      </x:c>
      <x:c r="M231" s="95" t="str">
        <x:v>campaign.radio.programProgress.H-LUX-05</x:v>
      </x:c>
      <x:c r="N231" s="95" t="str">
        <x:v>tools/verify-radio-program.mjs · ordered playback receipt</x:v>
      </x:c>
    </x:row>
    <x:row r="232" ht="46" customHeight="1">
      <x:c r="A232" s="94" t="str">
        <x:v>BLOCK</x:v>
      </x:c>
      <x:c r="B232" s="94" t="str">
        <x:v>special_meeting_call</x:v>
      </x:c>
      <x:c r="C232" s="94" t="str">
        <x:v>talkFirst</x:v>
      </x:c>
      <x:c r="D232" s="94" t="str">
        <x:v>luxury_apartment</x:v>
      </x:c>
      <x:c r="E232" s="94" t="str">
        <x:v>enabled</x:v>
      </x:c>
      <x:c r="F232" s="94" t="str">
        <x:v>H-LUX-05</x:v>
      </x:c>
      <x:c r="G232" s="94" t="n">
        <x:v>300</x:v>
      </x:c>
      <x:c r="H232" s="94" t="n">
        <x:v>20</x:v>
      </x:c>
      <x:c r="I232" s="94" t="n">
        <x:v>4</x:v>
      </x:c>
      <x:c r="J232" s="94" t="str">
        <x:v>talk-02</x:v>
      </x:c>
      <x:c r="K232" s="94" t="str">
        <x:v>talk</x:v>
      </x:c>
      <x:c r="L232" s="94" t="str">
        <x:v>talk-02</x:v>
      </x:c>
      <x:c r="M232" s="94" t="str">
        <x:v>campaign.radio.programProgress.H-LUX-05</x:v>
      </x:c>
      <x:c r="N232" s="94" t="str">
        <x:v>tools/verify-radio-program.mjs · ordered playback receipt</x:v>
      </x:c>
    </x:row>
    <x:row r="233" ht="46" customHeight="1">
      <x:c r="A233" s="95" t="str">
        <x:v>BLOCK</x:v>
      </x:c>
      <x:c r="B233" s="95" t="str">
        <x:v>special_meeting_call</x:v>
      </x:c>
      <x:c r="C233" s="95" t="str">
        <x:v>talkFirst</x:v>
      </x:c>
      <x:c r="D233" s="95" t="str">
        <x:v>luxury_apartment</x:v>
      </x:c>
      <x:c r="E233" s="95" t="str">
        <x:v>enabled</x:v>
      </x:c>
      <x:c r="F233" s="95" t="str">
        <x:v>H-LUX-05</x:v>
      </x:c>
      <x:c r="G233" s="95" t="n">
        <x:v>300</x:v>
      </x:c>
      <x:c r="H233" s="95" t="n">
        <x:v>20</x:v>
      </x:c>
      <x:c r="I233" s="95" t="n">
        <x:v>5</x:v>
      </x:c>
      <x:c r="J233" s="95" t="str">
        <x:v>talk-03</x:v>
      </x:c>
      <x:c r="K233" s="95" t="str">
        <x:v>talk</x:v>
      </x:c>
      <x:c r="L233" s="95" t="str">
        <x:v>talk-03</x:v>
      </x:c>
      <x:c r="M233" s="95" t="str">
        <x:v>campaign.radio.programProgress.H-LUX-05</x:v>
      </x:c>
      <x:c r="N233" s="95" t="str">
        <x:v>tools/verify-radio-program.mjs · ordered playback receipt</x:v>
      </x:c>
    </x:row>
    <x:row r="234" ht="46" customHeight="1">
      <x:c r="A234" s="94" t="str">
        <x:v>BLOCK</x:v>
      </x:c>
      <x:c r="B234" s="94" t="str">
        <x:v>special_meeting_call</x:v>
      </x:c>
      <x:c r="C234" s="94" t="str">
        <x:v>talkFirst</x:v>
      </x:c>
      <x:c r="D234" s="94" t="str">
        <x:v>luxury_apartment</x:v>
      </x:c>
      <x:c r="E234" s="94" t="str">
        <x:v>enabled</x:v>
      </x:c>
      <x:c r="F234" s="94" t="str">
        <x:v>H-LUX-05</x:v>
      </x:c>
      <x:c r="G234" s="94" t="n">
        <x:v>300</x:v>
      </x:c>
      <x:c r="H234" s="94" t="n">
        <x:v>20</x:v>
      </x:c>
      <x:c r="I234" s="94" t="n">
        <x:v>6</x:v>
      </x:c>
      <x:c r="J234" s="94" t="str">
        <x:v>talk-04</x:v>
      </x:c>
      <x:c r="K234" s="94" t="str">
        <x:v>talk</x:v>
      </x:c>
      <x:c r="L234" s="94" t="str">
        <x:v>talk-04</x:v>
      </x:c>
      <x:c r="M234" s="94" t="str">
        <x:v>campaign.radio.programProgress.H-LUX-05</x:v>
      </x:c>
      <x:c r="N234" s="94" t="str">
        <x:v>tools/verify-radio-program.mjs · ordered playback receipt</x:v>
      </x:c>
    </x:row>
    <x:row r="235" ht="46" customHeight="1">
      <x:c r="A235" s="95" t="str">
        <x:v>BLOCK</x:v>
      </x:c>
      <x:c r="B235" s="95" t="str">
        <x:v>special_meeting_call</x:v>
      </x:c>
      <x:c r="C235" s="95" t="str">
        <x:v>talkFirst</x:v>
      </x:c>
      <x:c r="D235" s="95" t="str">
        <x:v>luxury_apartment</x:v>
      </x:c>
      <x:c r="E235" s="95" t="str">
        <x:v>enabled</x:v>
      </x:c>
      <x:c r="F235" s="95" t="str">
        <x:v>H-LUX-05</x:v>
      </x:c>
      <x:c r="G235" s="95" t="n">
        <x:v>300</x:v>
      </x:c>
      <x:c r="H235" s="95" t="n">
        <x:v>20</x:v>
      </x:c>
      <x:c r="I235" s="95" t="n">
        <x:v>7</x:v>
      </x:c>
      <x:c r="J235" s="95" t="str">
        <x:v>song-01</x:v>
      </x:c>
      <x:c r="K235" s="95" t="str">
        <x:v>song</x:v>
      </x:c>
      <x:c r="L235" s="95" t="str">
        <x:v>nehoo-with-a-guu</x:v>
      </x:c>
      <x:c r="M235" s="95" t="str">
        <x:v>campaign.radio.programProgress.H-LUX-05</x:v>
      </x:c>
      <x:c r="N235" s="95" t="str">
        <x:v>tools/verify-radio-program.mjs · ordered playback receipt</x:v>
      </x:c>
    </x:row>
    <x:row r="236" ht="46" customHeight="1">
      <x:c r="A236" s="94" t="str">
        <x:v>BLOCK</x:v>
      </x:c>
      <x:c r="B236" s="94" t="str">
        <x:v>special_meeting_call</x:v>
      </x:c>
      <x:c r="C236" s="94" t="str">
        <x:v>talkFirst</x:v>
      </x:c>
      <x:c r="D236" s="94" t="str">
        <x:v>luxury_apartment</x:v>
      </x:c>
      <x:c r="E236" s="94" t="str">
        <x:v>enabled</x:v>
      </x:c>
      <x:c r="F236" s="94" t="str">
        <x:v>H-LUX-05</x:v>
      </x:c>
      <x:c r="G236" s="94" t="n">
        <x:v>300</x:v>
      </x:c>
      <x:c r="H236" s="94" t="n">
        <x:v>20</x:v>
      </x:c>
      <x:c r="I236" s="94" t="n">
        <x:v>8</x:v>
      </x:c>
      <x:c r="J236" s="94" t="str">
        <x:v>editorial</x:v>
      </x:c>
      <x:c r="K236" s="94" t="str">
        <x:v>news</x:v>
      </x:c>
      <x:c r="L236" s="94" t="str">
        <x:v>news.segment.compound</x:v>
      </x:c>
      <x:c r="M236" s="94" t="str">
        <x:v>campaign.radio.programProgress.H-LUX-05</x:v>
      </x:c>
      <x:c r="N236" s="94" t="str">
        <x:v>tools/verify-radio-program.mjs · ordered playback receipt</x:v>
      </x:c>
    </x:row>
    <x:row r="237" ht="46" customHeight="1">
      <x:c r="A237" s="95" t="str">
        <x:v>BLOCK</x:v>
      </x:c>
      <x:c r="B237" s="95" t="str">
        <x:v>special_meeting_call</x:v>
      </x:c>
      <x:c r="C237" s="95" t="str">
        <x:v>talkFirst</x:v>
      </x:c>
      <x:c r="D237" s="95" t="str">
        <x:v>luxury_apartment</x:v>
      </x:c>
      <x:c r="E237" s="95" t="str">
        <x:v>enabled</x:v>
      </x:c>
      <x:c r="F237" s="95" t="str">
        <x:v>H-LUX-05</x:v>
      </x:c>
      <x:c r="G237" s="95" t="n">
        <x:v>300</x:v>
      </x:c>
      <x:c r="H237" s="95" t="n">
        <x:v>20</x:v>
      </x:c>
      <x:c r="I237" s="95" t="n">
        <x:v>9</x:v>
      </x:c>
      <x:c r="J237" s="95" t="str">
        <x:v>talk-05</x:v>
      </x:c>
      <x:c r="K237" s="95" t="str">
        <x:v>talk</x:v>
      </x:c>
      <x:c r="L237" s="95" t="str">
        <x:v>talk-05</x:v>
      </x:c>
      <x:c r="M237" s="95" t="str">
        <x:v>campaign.radio.programProgress.H-LUX-05</x:v>
      </x:c>
      <x:c r="N237" s="95" t="str">
        <x:v>tools/verify-radio-program.mjs · ordered playback receipt</x:v>
      </x:c>
    </x:row>
    <x:row r="238" ht="46" customHeight="1">
      <x:c r="A238" s="94" t="str">
        <x:v>BLOCK</x:v>
      </x:c>
      <x:c r="B238" s="94" t="str">
        <x:v>special_meeting_call</x:v>
      </x:c>
      <x:c r="C238" s="94" t="str">
        <x:v>talkFirst</x:v>
      </x:c>
      <x:c r="D238" s="94" t="str">
        <x:v>luxury_apartment</x:v>
      </x:c>
      <x:c r="E238" s="94" t="str">
        <x:v>enabled</x:v>
      </x:c>
      <x:c r="F238" s="94" t="str">
        <x:v>H-LUX-05</x:v>
      </x:c>
      <x:c r="G238" s="94" t="n">
        <x:v>300</x:v>
      </x:c>
      <x:c r="H238" s="94" t="n">
        <x:v>20</x:v>
      </x:c>
      <x:c r="I238" s="94" t="n">
        <x:v>10</x:v>
      </x:c>
      <x:c r="J238" s="94" t="str">
        <x:v>talk-06</x:v>
      </x:c>
      <x:c r="K238" s="94" t="str">
        <x:v>talk</x:v>
      </x:c>
      <x:c r="L238" s="94" t="str">
        <x:v>talk-06</x:v>
      </x:c>
      <x:c r="M238" s="94" t="str">
        <x:v>campaign.radio.programProgress.H-LUX-05</x:v>
      </x:c>
      <x:c r="N238" s="94" t="str">
        <x:v>tools/verify-radio-program.mjs · ordered playback receipt</x:v>
      </x:c>
    </x:row>
    <x:row r="239" ht="46" customHeight="1">
      <x:c r="A239" s="95" t="str">
        <x:v>BLOCK</x:v>
      </x:c>
      <x:c r="B239" s="95" t="str">
        <x:v>special_meeting_call</x:v>
      </x:c>
      <x:c r="C239" s="95" t="str">
        <x:v>talkFirst</x:v>
      </x:c>
      <x:c r="D239" s="95" t="str">
        <x:v>luxury_apartment</x:v>
      </x:c>
      <x:c r="E239" s="95" t="str">
        <x:v>enabled</x:v>
      </x:c>
      <x:c r="F239" s="95" t="str">
        <x:v>H-LUX-05</x:v>
      </x:c>
      <x:c r="G239" s="95" t="n">
        <x:v>300</x:v>
      </x:c>
      <x:c r="H239" s="95" t="n">
        <x:v>20</x:v>
      </x:c>
      <x:c r="I239" s="95" t="n">
        <x:v>11</x:v>
      </x:c>
      <x:c r="J239" s="95" t="str">
        <x:v>talk-07</x:v>
      </x:c>
      <x:c r="K239" s="95" t="str">
        <x:v>talk</x:v>
      </x:c>
      <x:c r="L239" s="95" t="str">
        <x:v>talk-07</x:v>
      </x:c>
      <x:c r="M239" s="95" t="str">
        <x:v>campaign.radio.programProgress.H-LUX-05</x:v>
      </x:c>
      <x:c r="N239" s="95" t="str">
        <x:v>tools/verify-radio-program.mjs · ordered playback receipt</x:v>
      </x:c>
    </x:row>
    <x:row r="240" ht="46" customHeight="1">
      <x:c r="A240" s="94" t="str">
        <x:v>BLOCK</x:v>
      </x:c>
      <x:c r="B240" s="94" t="str">
        <x:v>special_meeting_call</x:v>
      </x:c>
      <x:c r="C240" s="94" t="str">
        <x:v>talkFirst</x:v>
      </x:c>
      <x:c r="D240" s="94" t="str">
        <x:v>luxury_apartment</x:v>
      </x:c>
      <x:c r="E240" s="94" t="str">
        <x:v>enabled</x:v>
      </x:c>
      <x:c r="F240" s="94" t="str">
        <x:v>H-LUX-05</x:v>
      </x:c>
      <x:c r="G240" s="94" t="n">
        <x:v>300</x:v>
      </x:c>
      <x:c r="H240" s="94" t="n">
        <x:v>20</x:v>
      </x:c>
      <x:c r="I240" s="94" t="n">
        <x:v>12</x:v>
      </x:c>
      <x:c r="J240" s="94" t="str">
        <x:v>talk-08</x:v>
      </x:c>
      <x:c r="K240" s="94" t="str">
        <x:v>talk</x:v>
      </x:c>
      <x:c r="L240" s="94" t="str">
        <x:v>talk-08</x:v>
      </x:c>
      <x:c r="M240" s="94" t="str">
        <x:v>campaign.radio.programProgress.H-LUX-05</x:v>
      </x:c>
      <x:c r="N240" s="94" t="str">
        <x:v>tools/verify-radio-program.mjs · ordered playback receipt</x:v>
      </x:c>
    </x:row>
    <x:row r="241" ht="46" customHeight="1">
      <x:c r="A241" s="95" t="str">
        <x:v>BLOCK</x:v>
      </x:c>
      <x:c r="B241" s="95" t="str">
        <x:v>special_meeting_call</x:v>
      </x:c>
      <x:c r="C241" s="95" t="str">
        <x:v>talkFirst</x:v>
      </x:c>
      <x:c r="D241" s="95" t="str">
        <x:v>luxury_apartment</x:v>
      </x:c>
      <x:c r="E241" s="95" t="str">
        <x:v>enabled</x:v>
      </x:c>
      <x:c r="F241" s="95" t="str">
        <x:v>H-LUX-05</x:v>
      </x:c>
      <x:c r="G241" s="95" t="n">
        <x:v>300</x:v>
      </x:c>
      <x:c r="H241" s="95" t="n">
        <x:v>20</x:v>
      </x:c>
      <x:c r="I241" s="95" t="n">
        <x:v>13</x:v>
      </x:c>
      <x:c r="J241" s="95" t="str">
        <x:v>song-02</x:v>
      </x:c>
      <x:c r="K241" s="95" t="str">
        <x:v>song</x:v>
      </x:c>
      <x:c r="L241" s="95" t="str">
        <x:v>through-the-night</x:v>
      </x:c>
      <x:c r="M241" s="95" t="str">
        <x:v>campaign.radio.programProgress.H-LUX-05</x:v>
      </x:c>
      <x:c r="N241" s="95" t="str">
        <x:v>tools/verify-radio-program.mjs · ordered playback receipt</x:v>
      </x:c>
    </x:row>
    <x:row r="242" ht="46" customHeight="1">
      <x:c r="A242" s="94" t="str">
        <x:v>BLOCK</x:v>
      </x:c>
      <x:c r="B242" s="94" t="str">
        <x:v>special_meeting_call</x:v>
      </x:c>
      <x:c r="C242" s="94" t="str">
        <x:v>talkFirst</x:v>
      </x:c>
      <x:c r="D242" s="94" t="str">
        <x:v>luxury_apartment</x:v>
      </x:c>
      <x:c r="E242" s="94" t="str">
        <x:v>enabled</x:v>
      </x:c>
      <x:c r="F242" s="94" t="str">
        <x:v>H-LUX-05</x:v>
      </x:c>
      <x:c r="G242" s="94" t="n">
        <x:v>300</x:v>
      </x:c>
      <x:c r="H242" s="94" t="n">
        <x:v>20</x:v>
      </x:c>
      <x:c r="I242" s="94" t="n">
        <x:v>14</x:v>
      </x:c>
      <x:c r="J242" s="94" t="str">
        <x:v>ad</x:v>
      </x:c>
      <x:c r="K242" s="94" t="str">
        <x:v>ad</x:v>
      </x:c>
      <x:c r="L242" s="94" t="str">
        <x:v>station.evening</x:v>
      </x:c>
      <x:c r="M242" s="94" t="str">
        <x:v>campaign.radio.programProgress.H-LUX-05</x:v>
      </x:c>
      <x:c r="N242" s="94" t="str">
        <x:v>tools/verify-radio-program.mjs · ordered playback receipt</x:v>
      </x:c>
    </x:row>
    <x:row r="243" ht="46" customHeight="1">
      <x:c r="A243" s="95" t="str">
        <x:v>BLOCK</x:v>
      </x:c>
      <x:c r="B243" s="95" t="str">
        <x:v>special_meeting_call</x:v>
      </x:c>
      <x:c r="C243" s="95" t="str">
        <x:v>talkFirst</x:v>
      </x:c>
      <x:c r="D243" s="95" t="str">
        <x:v>luxury_apartment</x:v>
      </x:c>
      <x:c r="E243" s="95" t="str">
        <x:v>enabled</x:v>
      </x:c>
      <x:c r="F243" s="95" t="str">
        <x:v>H-LUX-05</x:v>
      </x:c>
      <x:c r="G243" s="95" t="n">
        <x:v>300</x:v>
      </x:c>
      <x:c r="H243" s="95" t="n">
        <x:v>20</x:v>
      </x:c>
      <x:c r="I243" s="95" t="n">
        <x:v>15</x:v>
      </x:c>
      <x:c r="J243" s="95" t="str">
        <x:v>handoff</x:v>
      </x:c>
      <x:c r="K243" s="95" t="str">
        <x:v>handoff</x:v>
      </x:c>
      <x:c r="L243" s="95" t="str">
        <x:v>handoff</x:v>
      </x:c>
      <x:c r="M243" s="95" t="str">
        <x:v>campaign.radio.programProgress.H-LUX-05</x:v>
      </x:c>
      <x:c r="N243" s="95" t="str">
        <x:v>tools/verify-radio-program.mjs · ordered playback receipt</x:v>
      </x:c>
    </x:row>
    <x:row r="244" ht="46" customHeight="1">
      <x:c r="A244" s="94" t="str">
        <x:v>RECEIVER</x:v>
      </x:c>
      <x:c r="B244" s="94" t="str"/>
      <x:c r="C244" s="94" t="str"/>
      <x:c r="D244" s="94" t="str">
        <x:v>apartment</x:v>
      </x:c>
      <x:c r="E244" s="94" t="str">
        <x:v>enabled</x:v>
      </x:c>
      <x:c r="F244" s="94" t="str"/>
      <x:c r="G244" s="94" t="str"/>
      <x:c r="H244" s="94" t="str"/>
      <x:c r="I244" s="94" t="str"/>
      <x:c r="J244" s="94" t="str"/>
      <x:c r="K244" s="94" t="str"/>
      <x:c r="L244" s="94" t="str"/>
      <x:c r="M244" s="94" t="str">
        <x:v>campaign.radio.receivers.apartment</x:v>
      </x:c>
      <x:c r="N244" s="94" t="str">
        <x:v>src/core/radio-program.js · PHYSICAL_RADIO_RECEIVERS</x:v>
      </x:c>
    </x:row>
    <x:row r="245" ht="46" customHeight="1">
      <x:c r="A245" s="95" t="str">
        <x:v>RECEIVER</x:v>
      </x:c>
      <x:c r="B245" s="95" t="str"/>
      <x:c r="C245" s="95" t="str"/>
      <x:c r="D245" s="95" t="str">
        <x:v>bing_car</x:v>
      </x:c>
      <x:c r="E245" s="95" t="str">
        <x:v>disabled</x:v>
      </x:c>
      <x:c r="F245" s="95" t="str"/>
      <x:c r="G245" s="95" t="str"/>
      <x:c r="H245" s="95" t="str"/>
      <x:c r="I245" s="95" t="str"/>
      <x:c r="J245" s="95" t="str"/>
      <x:c r="K245" s="95" t="str"/>
      <x:c r="L245" s="95" t="str"/>
      <x:c r="M245" s="95" t="str">
        <x:v>campaign.radio.receivers.bing_car</x:v>
      </x:c>
      <x:c r="N245" s="95" t="str">
        <x:v>src/core/radio-program.js · PHYSICAL_RADIO_RECEIVERS</x:v>
      </x:c>
    </x:row>
    <x:row r="246" ht="46" customHeight="1">
      <x:c r="A246" s="94" t="str">
        <x:v>RECEIVER</x:v>
      </x:c>
      <x:c r="B246" s="94" t="str"/>
      <x:c r="C246" s="94" t="str"/>
      <x:c r="D246" s="94" t="str">
        <x:v>countryside_cabin</x:v>
      </x:c>
      <x:c r="E246" s="94" t="str">
        <x:v>enabled</x:v>
      </x:c>
      <x:c r="F246" s="94" t="str"/>
      <x:c r="G246" s="94" t="str"/>
      <x:c r="H246" s="94" t="str"/>
      <x:c r="I246" s="94" t="str"/>
      <x:c r="J246" s="94" t="str"/>
      <x:c r="K246" s="94" t="str"/>
      <x:c r="L246" s="94" t="str"/>
      <x:c r="M246" s="94" t="str">
        <x:v>campaign.radio.receivers.countryside_cabin</x:v>
      </x:c>
      <x:c r="N246" s="94" t="str">
        <x:v>src/core/radio-program.js · PHYSICAL_RADIO_RECEIVERS</x:v>
      </x:c>
    </x:row>
    <x:row r="247" ht="46" customHeight="1">
      <x:c r="A247" s="95" t="str">
        <x:v>RECEIVER</x:v>
      </x:c>
      <x:c r="B247" s="95" t="str"/>
      <x:c r="C247" s="95" t="str"/>
      <x:c r="D247" s="95" t="str">
        <x:v>beefrun_cockpit</x:v>
      </x:c>
      <x:c r="E247" s="95" t="str">
        <x:v>disabled</x:v>
      </x:c>
      <x:c r="F247" s="95" t="str"/>
      <x:c r="G247" s="95" t="str"/>
      <x:c r="H247" s="95" t="str"/>
      <x:c r="I247" s="95" t="str"/>
      <x:c r="J247" s="95" t="str"/>
      <x:c r="K247" s="95" t="str"/>
      <x:c r="L247" s="95" t="str"/>
      <x:c r="M247" s="95" t="str">
        <x:v>campaign.radio.receivers.beefrun_cockpit</x:v>
      </x:c>
      <x:c r="N247" s="95" t="str">
        <x:v>src/core/radio-program.js · PHYSICAL_RADIO_RECEIVERS</x:v>
      </x:c>
    </x:row>
    <x:row r="248" ht="46" customHeight="1">
      <x:c r="A248" s="94" t="str">
        <x:v>RECEIVER</x:v>
      </x:c>
      <x:c r="B248" s="94" t="str"/>
      <x:c r="C248" s="94" t="str"/>
      <x:c r="D248" s="94" t="str">
        <x:v>silver_pines_lead_cart</x:v>
      </x:c>
      <x:c r="E248" s="94" t="str">
        <x:v>disabled</x:v>
      </x:c>
      <x:c r="F248" s="94" t="str"/>
      <x:c r="G248" s="94" t="str"/>
      <x:c r="H248" s="94" t="str"/>
      <x:c r="I248" s="94" t="str"/>
      <x:c r="J248" s="94" t="str"/>
      <x:c r="K248" s="94" t="str"/>
      <x:c r="L248" s="94" t="str"/>
      <x:c r="M248" s="94" t="str">
        <x:v>campaign.radio.receivers.silver_pines_lead_cart</x:v>
      </x:c>
      <x:c r="N248" s="94" t="str">
        <x:v>src/core/radio-program.js · PHYSICAL_RADIO_RECEIVERS</x:v>
      </x:c>
    </x:row>
    <x:row r="249" ht="46" customHeight="1">
      <x:c r="A249" s="95" t="str">
        <x:v>RECEIVER</x:v>
      </x:c>
      <x:c r="B249" s="95" t="str"/>
      <x:c r="C249" s="95" t="str"/>
      <x:c r="D249" s="95" t="str">
        <x:v>luxury_apartment</x:v>
      </x:c>
      <x:c r="E249" s="95" t="str">
        <x:v>enabled</x:v>
      </x:c>
      <x:c r="F249" s="95" t="str"/>
      <x:c r="G249" s="95" t="str"/>
      <x:c r="H249" s="95" t="str"/>
      <x:c r="I249" s="95" t="str"/>
      <x:c r="J249" s="95" t="str"/>
      <x:c r="K249" s="95" t="str"/>
      <x:c r="L249" s="95" t="str"/>
      <x:c r="M249" s="95" t="str">
        <x:v>campaign.radio.receivers.luxury_apartment</x:v>
      </x:c>
      <x:c r="N249" s="95" t="str">
        <x:v>src/core/radio-program.js · PHYSICAL_RADIO_RECEIVERS</x:v>
      </x:c>
    </x:row>
    <x:row r="250" ht="46" customHeight="1">
      <x:c r="A250" s="94" t="str">
        <x:v>RECEIVER</x:v>
      </x:c>
      <x:c r="B250" s="94" t="str"/>
      <x:c r="C250" s="94" t="str"/>
      <x:c r="D250" s="94" t="str">
        <x:v>no_wake_cabin</x:v>
      </x:c>
      <x:c r="E250" s="94" t="str">
        <x:v>disabled</x:v>
      </x:c>
      <x:c r="F250" s="94" t="str"/>
      <x:c r="G250" s="94" t="str"/>
      <x:c r="H250" s="94" t="str"/>
      <x:c r="I250" s="94" t="str"/>
      <x:c r="J250" s="94" t="str"/>
      <x:c r="K250" s="94" t="str"/>
      <x:c r="L250" s="94" t="str"/>
      <x:c r="M250" s="94" t="str">
        <x:v>campaign.radio.receivers.no_wake_cabin</x:v>
      </x:c>
      <x:c r="N250" s="94" t="str">
        <x:v>src/core/radio-program.js · PHYSICAL_RADIO_RECEIVERS</x:v>
      </x:c>
    </x:row>
    <x:row r="251" ht="46" customHeight="1">
      <x:c r="A251" s="96" t="str">
        <x:v>RECEIVER</x:v>
      </x:c>
      <x:c r="B251" s="96" t="str"/>
      <x:c r="C251" s="96" t="str"/>
      <x:c r="D251" s="96" t="str">
        <x:v>mansion_house</x:v>
      </x:c>
      <x:c r="E251" s="96" t="str">
        <x:v>enabled</x:v>
      </x:c>
      <x:c r="F251" s="96" t="str"/>
      <x:c r="G251" s="96" t="str"/>
      <x:c r="H251" s="96" t="str"/>
      <x:c r="I251" s="96" t="str"/>
      <x:c r="J251" s="96" t="str"/>
      <x:c r="K251" s="96" t="str"/>
      <x:c r="L251" s="96" t="str"/>
      <x:c r="M251" s="96" t="str">
        <x:v>campaign.radio.receivers.mansion_house</x:v>
      </x:c>
      <x:c r="N251" s="96" t="str">
        <x:v>src/core/radio-program.js · PHYSICAL_RADIO_RECEIVERS</x:v>
      </x:c>
    </x:row>
  </x:sheetData>
  <x:mergeCells>
    <x:mergeCell ref="A1:N1"/>
    <x:mergeCell ref="A2:N2"/>
  </x:mergeCells>
  <x:conditionalFormatting sqref="A5:E251">
    <x:cfRule type="containsText" dxfId="102" priority="1" operator="containsText" text="P0"/>
    <x:cfRule type="containsText" dxfId="103" priority="2" operator="containsText" text="FAIL"/>
    <x:cfRule type="containsText" dxfId="104" priority="3" operator="containsText" text="BROKEN"/>
    <x:cfRule type="containsText" dxfId="105" priority="4" operator="containsText" text="MISSING"/>
    <x:cfRule type="containsText" dxfId="106" priority="5" operator="containsText" text="DEBT"/>
    <x:cfRule type="containsText" dxfId="107" priority="6" operator="containsText" text="P1"/>
    <x:cfRule type="containsText" dxfId="108" priority="7" operator="containsText" text="OWNER"/>
    <x:cfRule type="containsText" dxfId="109" priority="8" operator="containsText" text="RERECORD"/>
    <x:cfRule type="containsText" dxfId="110" priority="9" operator="containsText" text="PARTIAL"/>
    <x:cfRule type="containsText" dxfId="111" priority="10" operator="containsText" text="P2"/>
    <x:cfRule type="containsText" dxfId="112" priority="11" operator="containsText" text="CONNECTED"/>
    <x:cfRule type="containsText" dxfId="113" priority="12" operator="containsText" text="PASS"/>
    <x:cfRule type="containsText" dxfId="114" priority="13" operator="containsText" text="KEEP"/>
    <x:cfRule type="containsText" dxfId="115" priority="14" operator="containsText" text="EXISTING"/>
    <x:cfRule type="containsText" dxfId="116" priority="15" operator="containsText" text="P3"/>
    <x:cfRule type="containsText" dxfId="117" priority="16" operator="containsText" text="FROZEN"/>
    <x:cfRule type="containsText" dxfId="118" priority="17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b57a0345cb0540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8" hidden="0" customWidth="1"/>
    <x:col min="3" max="3" width="25" hidden="0" customWidth="1"/>
    <x:col min="4" max="4" width="8" hidden="0" customWidth="1"/>
    <x:col min="5" max="5" width="11" hidden="0" customWidth="1"/>
    <x:col min="6" max="6" width="12" hidden="0" customWidth="1"/>
    <x:col min="7" max="7" width="11" hidden="0" customWidth="1"/>
    <x:col min="8" max="8" width="14" hidden="0" customWidth="1"/>
    <x:col min="9" max="9" width="16" hidden="0" customWidth="1"/>
    <x:col min="10" max="10" width="44" hidden="0" customWidth="1"/>
    <x:col min="11" max="11" width="34" hidden="0" customWidth="1"/>
    <x:col min="12" max="12" width="18" hidden="0" customWidth="1"/>
    <x:col min="13" max="13" width="42" hidden="0" customWidth="1"/>
    <x:col min="15" max="15" width="12" hidden="0" customWidth="1"/>
    <x:col min="16" max="16" width="12" hidden="0" customWidth="1"/>
    <x:col min="17" max="17" width="16" hidden="0" customWidth="1"/>
    <x:col min="18" max="18" width="34" hidden="0" customWidth="1"/>
    <x:col min="19" max="19" width="29" hidden="0" customWidth="1"/>
    <x:col min="20" max="20" width="35" hidden="0" customWidth="1"/>
  </x:cols>
  <x:sheetData>
    <x:row r="1" ht="32" customHeight="1">
      <x:c r="A1" s="136" t="str">
        <x:v>FIRST FIVE MINUTES · EDITORIAL PACKETS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7"/>
    </x:row>
    <x:row r="2" ht="34" customHeight="1">
      <x:c r="A2" s="7" t="str">
        <x:v>Original five-minute editorial plan retained for review. Implemented runtime block order and resume state are authoritative in Live Radio Manifest; this sheet must not override that generated ledger.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13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</x:row>
    <x:row r="4" ht="34" customHeight="1">
      <x:c r="A4" s="105" t="str">
        <x:v>Program</x:v>
      </x:c>
      <x:c r="B4" s="105" t="str">
        <x:v>Beat</x:v>
      </x:c>
      <x:c r="C4" s="105" t="str">
        <x:v>Scene / visit</x:v>
      </x:c>
      <x:c r="D4" s="105" t="str">
        <x:v>Order</x:v>
      </x:c>
      <x:c r="E4" s="105" t="str">
        <x:v>Start (s)</x:v>
      </x:c>
      <x:c r="F4" s="105" t="str">
        <x:v>Duration (s)</x:v>
      </x:c>
      <x:c r="G4" s="105" t="str">
        <x:v>End (s)</x:v>
      </x:c>
      <x:c r="H4" s="105" t="str">
        <x:v>Policy</x:v>
      </x:c>
      <x:c r="I4" s="105" t="str">
        <x:v>Block type</x:v>
      </x:c>
      <x:c r="J4" s="105" t="str">
        <x:v>Content</x:v>
      </x:c>
      <x:c r="K4" s="105" t="str">
        <x:v>Asset / cue ID</x:v>
      </x:c>
      <x:c r="L4" s="105" t="str">
        <x:v>Source state</x:v>
      </x:c>
      <x:c r="M4" s="105" t="str">
        <x:v>Notes</x:v>
      </x:c>
      <x:c r="N4" s="137"/>
      <x:c r="O4" s="119" t="str">
        <x:v>Current start</x:v>
      </x:c>
      <x:c r="P4" s="119" t="str">
        <x:v>Current end</x:v>
      </x:c>
      <x:c r="Q4" s="119" t="str">
        <x:v>Type</x:v>
      </x:c>
      <x:c r="R4" s="119" t="str">
        <x:v>Current Day-1 06:04 output</x:v>
      </x:c>
      <x:c r="S4" s="119" t="str">
        <x:v>Cue / asset</x:v>
      </x:c>
      <x:c r="T4" s="119" t="str">
        <x:v>Finding</x:v>
      </x:c>
    </x:row>
    <x:row r="5" ht="46" customHeight="1">
      <x:c r="A5" s="93" t="str">
        <x:v>H-APT-01</x:v>
      </x:c>
      <x:c r="B5" s="93" t="str">
        <x:v>1</x:v>
      </x:c>
      <x:c r="C5" s="93" t="str">
        <x:v>First Apartment</x:v>
      </x:c>
      <x:c r="D5" s="114" t="n">
        <x:v>1</x:v>
      </x:c>
      <x:c r="E5" s="110" t="n">
        <x:v>0</x:v>
      </x:c>
      <x:c r="F5" s="110" t="n">
        <x:v>4</x:v>
      </x:c>
      <x:c r="G5" s="110" t="n">
        <x:f>E5+F5</x:f>
        <x:v>4</x:v>
      </x:c>
      <x:c r="H5" s="93" t="str">
        <x:v>talkFirst</x:v>
      </x:c>
      <x:c r="I5" s="93" t="str">
        <x:v>Ident</x:v>
      </x:c>
      <x:c r="J5" s="93" t="str">
        <x:v>97.8 THE SQUATCH ident</x:v>
      </x:c>
      <x:c r="K5" s="93" t="str">
        <x:v>radio.ident.squatch</x:v>
      </x:c>
      <x:c r="L5" s="93" t="str">
        <x:v>EXISTING</x:v>
      </x:c>
      <x:c r="M5" s="93" t="str">
        <x:v>Run before show intro; no overlap</x:v>
      </x:c>
      <x:c r="N5" s="137"/>
      <x:c r="O5" s="131" t="n">
        <x:v>0</x:v>
      </x:c>
      <x:c r="P5" s="131" t="n">
        <x:v>8.568</x:v>
      </x:c>
      <x:c r="Q5" s="128" t="str">
        <x:v>Show intro</x:v>
      </x:c>
      <x:c r="R5" s="128" t="str">
        <x:v>Lou &amp; Lou intro</x:v>
      </x:c>
      <x:c r="S5" s="128" t="str">
        <x:v>radio.vo.announcer.15n90um</x:v>
      </x:c>
      <x:c r="T5" s="128" t="str">
        <x:v>Overlaps station ident</x:v>
      </x:c>
    </x:row>
    <x:row r="6" ht="46" customHeight="1">
      <x:c r="A6" s="94" t="str">
        <x:v>H-APT-01</x:v>
      </x:c>
      <x:c r="B6" s="94" t="str">
        <x:v>1</x:v>
      </x:c>
      <x:c r="C6" s="94" t="str">
        <x:v>First Apartment</x:v>
      </x:c>
      <x:c r="D6" s="115" t="n">
        <x:v>2</x:v>
      </x:c>
      <x:c r="E6" s="111" t="n">
        <x:f>G5</x:f>
        <x:v>4</x:v>
      </x:c>
      <x:c r="F6" s="111" t="n">
        <x:v>72</x:v>
      </x:c>
      <x:c r="G6" s="111" t="n">
        <x:f>E6+F6</x:f>
        <x:v>76</x:v>
      </x:c>
      <x:c r="H6" s="94" t="str">
        <x:v>talkFirst</x:v>
      </x:c>
      <x:c r="I6" s="94" t="str">
        <x:v>Talk</x:v>
      </x:c>
      <x:c r="J6" s="94" t="str">
        <x:v>New Lou &amp; Lou Day One cold open and family-safe euphemisms</x:v>
      </x:c>
      <x:c r="K6" s="94" t="str">
        <x:v>New script + new recording</x:v>
      </x:c>
      <x:c r="L6" s="94" t="str">
        <x:v>NEW</x:v>
      </x:c>
      <x:c r="M6" s="94" t="str"/>
      <x:c r="N6" s="137"/>
      <x:c r="O6" s="132" t="n">
        <x:v>0</x:v>
      </x:c>
      <x:c r="P6" s="132" t="n">
        <x:v>3.631</x:v>
      </x:c>
      <x:c r="Q6" s="129" t="str">
        <x:v>Station ident</x:v>
      </x:c>
      <x:c r="R6" s="129" t="str">
        <x:v>97.8 THE SQUATCH ident</x:v>
      </x:c>
      <x:c r="S6" s="129" t="str">
        <x:v>radio.ident.squatch</x:v>
      </x:c>
      <x:c r="T6" s="129" t="str">
        <x:v>Current overlap defect</x:v>
      </x:c>
    </x:row>
    <x:row r="7" ht="46" customHeight="1">
      <x:c r="A7" s="95" t="str">
        <x:v>H-APT-01</x:v>
      </x:c>
      <x:c r="B7" s="95" t="str">
        <x:v>1</x:v>
      </x:c>
      <x:c r="C7" s="95" t="str">
        <x:v>First Apartment</x:v>
      </x:c>
      <x:c r="D7" s="116" t="n">
        <x:v>3</x:v>
      </x:c>
      <x:c r="E7" s="112" t="n">
        <x:f>G6</x:f>
        <x:v>76</x:v>
      </x:c>
      <x:c r="F7" s="112" t="n">
        <x:v>30</x:v>
      </x:c>
      <x:c r="G7" s="112" t="n">
        <x:f>E7+F7</x:f>
        <x:v>106</x:v>
      </x:c>
      <x:c r="H7" s="95" t="str">
        <x:v>talkFirst</x:v>
      </x:c>
      <x:c r="I7" s="95" t="str">
        <x:v>Song</x:v>
      </x:c>
      <x:c r="J7" s="95" t="str">
        <x:v>Good Ole Days</x:v>
      </x:c>
      <x:c r="K7" s="95" t="str">
        <x:v>good-ole-days.mp3</x:v>
      </x:c>
      <x:c r="L7" s="95" t="str">
        <x:v>EXISTING</x:v>
      </x:c>
      <x:c r="M7" s="95" t="str">
        <x:v>30s station edit</x:v>
      </x:c>
      <x:c r="N7" s="137"/>
      <x:c r="O7" s="132" t="n">
        <x:v>9.968</x:v>
      </x:c>
      <x:c r="P7" s="132" t="n">
        <x:v>28.154</x:v>
      </x:c>
      <x:c r="Q7" s="129" t="str">
        <x:v>Talk</x:v>
      </x:c>
      <x:c r="R7" s="129" t="str">
        <x:v>First Lou &amp; Lou exchange</x:v>
      </x:c>
      <x:c r="S7" s="129" t="str">
        <x:v>3 delivered lines</x:v>
      </x:c>
      <x:c r="T7" s="129" t="str"/>
    </x:row>
    <x:row r="8" ht="46" customHeight="1">
      <x:c r="A8" s="94" t="str">
        <x:v>H-APT-01</x:v>
      </x:c>
      <x:c r="B8" s="94" t="str">
        <x:v>1</x:v>
      </x:c>
      <x:c r="C8" s="94" t="str">
        <x:v>First Apartment</x:v>
      </x:c>
      <x:c r="D8" s="115" t="n">
        <x:v>4</x:v>
      </x:c>
      <x:c r="E8" s="111" t="n">
        <x:f>G7</x:f>
        <x:v>106</x:v>
      </x:c>
      <x:c r="F8" s="111" t="n">
        <x:v>35</x:v>
      </x:c>
      <x:c r="G8" s="111" t="n">
        <x:f>E8+F8</x:f>
        <x:v>141</x:v>
      </x:c>
      <x:c r="H8" s="94" t="str">
        <x:v>talkFirst</x:v>
      </x:c>
      <x:c r="I8" s="94" t="str">
        <x:v>Notice / ad</x:v>
      </x:c>
      <x:c r="J8" s="94" t="str">
        <x:v>Day One meeting notice followed by short approved ad</x:v>
      </x:c>
      <x:c r="K8" s="94" t="str">
        <x:v>notice.meeting.day_one + ad</x:v>
      </x:c>
      <x:c r="L8" s="94" t="str">
        <x:v>PARTIAL</x:v>
      </x:c>
      <x:c r="M8" s="94" t="str">
        <x:v>Existing notice; ad target requires explicit program data</x:v>
      </x:c>
      <x:c r="N8" s="137"/>
      <x:c r="O8" s="132" t="n">
        <x:v>29.554</x:v>
      </x:c>
      <x:c r="P8" s="132" t="n">
        <x:v>32.506</x:v>
      </x:c>
      <x:c r="Q8" s="129" t="str">
        <x:v>Link</x:v>
      </x:c>
      <x:c r="R8" s="129" t="str">
        <x:v>Station link 1</x:v>
      </x:c>
      <x:c r="S8" s="129" t="str">
        <x:v>radio.vo.announcer.1v05271</x:v>
      </x:c>
      <x:c r="T8" s="129" t="str"/>
    </x:row>
    <x:row r="9" ht="46" customHeight="1">
      <x:c r="A9" s="95" t="str">
        <x:v>H-APT-01</x:v>
      </x:c>
      <x:c r="B9" s="95" t="str">
        <x:v>1</x:v>
      </x:c>
      <x:c r="C9" s="95" t="str">
        <x:v>First Apartment</x:v>
      </x:c>
      <x:c r="D9" s="116" t="n">
        <x:v>5</x:v>
      </x:c>
      <x:c r="E9" s="112" t="n">
        <x:f>G8</x:f>
        <x:v>141</x:v>
      </x:c>
      <x:c r="F9" s="112" t="n">
        <x:v>80</x:v>
      </x:c>
      <x:c r="G9" s="112" t="n">
        <x:f>E9+F9</x:f>
        <x:v>221</x:v>
      </x:c>
      <x:c r="H9" s="95" t="str">
        <x:v>talkFirst</x:v>
      </x:c>
      <x:c r="I9" s="95" t="str">
        <x:v>Talk</x:v>
      </x:c>
      <x:c r="J9" s="95" t="str">
        <x:v>New Lou &amp; Lou follow-up that makes the Bing invitation feel live</x:v>
      </x:c>
      <x:c r="K9" s="95" t="str">
        <x:v>New script + new recording</x:v>
      </x:c>
      <x:c r="L9" s="95" t="str">
        <x:v>NEW</x:v>
      </x:c>
      <x:c r="M9" s="95" t="str">
        <x:v>Visit-specific material; mark heard only after completion</x:v>
      </x:c>
      <x:c r="N9" s="137"/>
      <x:c r="O9" s="132" t="n">
        <x:v>33.906</x:v>
      </x:c>
      <x:c r="P9" s="132" t="n">
        <x:v>63.906</x:v>
      </x:c>
      <x:c r="Q9" s="129" t="str">
        <x:v>Song</x:v>
      </x:c>
      <x:c r="R9" s="129" t="str">
        <x:v>Good Ole Days excerpt</x:v>
      </x:c>
      <x:c r="S9" s="129" t="str">
        <x:v>good-ole-days.mp3</x:v>
      </x:c>
      <x:c r="T9" s="129" t="str">
        <x:v>30s edit</x:v>
      </x:c>
    </x:row>
    <x:row r="10" ht="46" customHeight="1">
      <x:c r="A10" s="94" t="str">
        <x:v>H-APT-01</x:v>
      </x:c>
      <x:c r="B10" s="94" t="str">
        <x:v>1</x:v>
      </x:c>
      <x:c r="C10" s="94" t="str">
        <x:v>First Apartment</x:v>
      </x:c>
      <x:c r="D10" s="115" t="n">
        <x:v>6</x:v>
      </x:c>
      <x:c r="E10" s="111" t="n">
        <x:f>G9</x:f>
        <x:v>221</x:v>
      </x:c>
      <x:c r="F10" s="111" t="n">
        <x:v>30</x:v>
      </x:c>
      <x:c r="G10" s="111" t="n">
        <x:f>E10+F10</x:f>
        <x:v>251</x:v>
      </x:c>
      <x:c r="H10" s="94" t="str">
        <x:v>talkFirst</x:v>
      </x:c>
      <x:c r="I10" s="94" t="str">
        <x:v>Song</x:v>
      </x:c>
      <x:c r="J10" s="94" t="str">
        <x:v>Cosmic Drift</x:v>
      </x:c>
      <x:c r="K10" s="94" t="str">
        <x:v>cosmic-drift.mp3</x:v>
      </x:c>
      <x:c r="L10" s="94" t="str">
        <x:v>EXISTING</x:v>
      </x:c>
      <x:c r="M10" s="94" t="str">
        <x:v>30s station edit</x:v>
      </x:c>
      <x:c r="N10" s="137"/>
      <x:c r="O10" s="132" t="n">
        <x:v>65.306</x:v>
      </x:c>
      <x:c r="P10" s="132" t="n">
        <x:v>91.741</x:v>
      </x:c>
      <x:c r="Q10" s="129" t="str">
        <x:v>Talk</x:v>
      </x:c>
      <x:c r="R10" s="129" t="str">
        <x:v>Two Lou &amp; Lou exchanges</x:v>
      </x:c>
      <x:c r="S10" s="129" t="str">
        <x:v>delivered talk pool</x:v>
      </x:c>
      <x:c r="T10" s="129" t="str"/>
    </x:row>
    <x:row r="11" ht="46" customHeight="1">
      <x:c r="A11" s="95" t="str">
        <x:v>H-APT-01</x:v>
      </x:c>
      <x:c r="B11" s="95" t="str">
        <x:v>1</x:v>
      </x:c>
      <x:c r="C11" s="95" t="str">
        <x:v>First Apartment</x:v>
      </x:c>
      <x:c r="D11" s="116" t="n">
        <x:v>7</x:v>
      </x:c>
      <x:c r="E11" s="112" t="n">
        <x:f>G10</x:f>
        <x:v>251</x:v>
      </x:c>
      <x:c r="F11" s="112" t="n">
        <x:v>49</x:v>
      </x:c>
      <x:c r="G11" s="112" t="n">
        <x:f>E11+F11</x:f>
        <x:v>300</x:v>
      </x:c>
      <x:c r="H11" s="95" t="str">
        <x:v>talkFirst</x:v>
      </x:c>
      <x:c r="I11" s="95" t="str">
        <x:v>Link / ad</x:v>
      </x:c>
      <x:c r="J11" s="95" t="str">
        <x:v>Short station link, approved ad, and packet handoff</x:v>
      </x:c>
      <x:c r="K11" s="95" t="str">
        <x:v>Existing short cues + new edit</x:v>
      </x:c>
      <x:c r="L11" s="95" t="str">
        <x:v>PARTIAL</x:v>
      </x:c>
      <x:c r="M11" s="95" t="str">
        <x:v>Total packet target = 300s; then resume generic rotation</x:v>
      </x:c>
      <x:c r="N11" s="137"/>
      <x:c r="O11" s="132" t="n">
        <x:v>93.141</x:v>
      </x:c>
      <x:c r="P11" s="132" t="n">
        <x:v>97.112</x:v>
      </x:c>
      <x:c r="Q11" s="129" t="str">
        <x:v>Link</x:v>
      </x:c>
      <x:c r="R11" s="129" t="str">
        <x:v>Station link 2</x:v>
      </x:c>
      <x:c r="S11" s="129" t="str">
        <x:v>radio.vo.announcer.0rf28a0</x:v>
      </x:c>
      <x:c r="T11" s="129" t="str"/>
    </x:row>
    <x:row r="12" ht="46" customHeight="1">
      <x:c r="A12" s="94" t="str">
        <x:v>H-CAB-01</x:v>
      </x:c>
      <x:c r="B12" s="94" t="str">
        <x:v>4</x:v>
      </x:c>
      <x:c r="C12" s="94" t="str">
        <x:v>Cabin I arrival</x:v>
      </x:c>
      <x:c r="D12" s="115" t="n">
        <x:v>1</x:v>
      </x:c>
      <x:c r="E12" s="111" t="n">
        <x:v>0</x:v>
      </x:c>
      <x:c r="F12" s="111" t="n">
        <x:v>4</x:v>
      </x:c>
      <x:c r="G12" s="111" t="n">
        <x:f>E12+F12</x:f>
        <x:v>4</x:v>
      </x:c>
      <x:c r="H12" s="94" t="str">
        <x:v>talkFirst</x:v>
      </x:c>
      <x:c r="I12" s="94" t="str">
        <x:v>Ident</x:v>
      </x:c>
      <x:c r="J12" s="94" t="str">
        <x:v>97.8 THE SQUATCH ident</x:v>
      </x:c>
      <x:c r="K12" s="94" t="str">
        <x:v>radio.ident.squatch</x:v>
      </x:c>
      <x:c r="L12" s="94" t="str">
        <x:v>EXISTING</x:v>
      </x:c>
      <x:c r="M12" s="94" t="str">
        <x:v>Run before show intro; no overlap</x:v>
      </x:c>
      <x:c r="N12" s="137"/>
      <x:c r="O12" s="132" t="n">
        <x:v>98.512</x:v>
      </x:c>
      <x:c r="P12" s="132" t="n">
        <x:v>128.512</x:v>
      </x:c>
      <x:c r="Q12" s="129" t="str">
        <x:v>Song</x:v>
      </x:c>
      <x:c r="R12" s="129" t="str">
        <x:v>Cosmic Drift excerpt</x:v>
      </x:c>
      <x:c r="S12" s="129" t="str">
        <x:v>cosmic-drift.mp3</x:v>
      </x:c>
      <x:c r="T12" s="129" t="str">
        <x:v>30s edit</x:v>
      </x:c>
    </x:row>
    <x:row r="13" ht="46" customHeight="1">
      <x:c r="A13" s="95" t="str">
        <x:v>H-CAB-01</x:v>
      </x:c>
      <x:c r="B13" s="95" t="str">
        <x:v>4</x:v>
      </x:c>
      <x:c r="C13" s="95" t="str">
        <x:v>Cabin I arrival</x:v>
      </x:c>
      <x:c r="D13" s="116" t="n">
        <x:v>2</x:v>
      </x:c>
      <x:c r="E13" s="112" t="n">
        <x:f>G12</x:f>
        <x:v>4</x:v>
      </x:c>
      <x:c r="F13" s="112" t="n">
        <x:v>72</x:v>
      </x:c>
      <x:c r="G13" s="112" t="n">
        <x:f>E13+F13</x:f>
        <x:v>76</x:v>
      </x:c>
      <x:c r="H13" s="95" t="str">
        <x:v>talkFirst</x:v>
      </x:c>
      <x:c r="I13" s="95" t="str">
        <x:v>Talk</x:v>
      </x:c>
      <x:c r="J13" s="95" t="str">
        <x:v>New Automated Overnight wilderness call-in block</x:v>
      </x:c>
      <x:c r="K13" s="95" t="str">
        <x:v>New script + new recording</x:v>
      </x:c>
      <x:c r="L13" s="95" t="str">
        <x:v>NEW</x:v>
      </x:c>
      <x:c r="M13" s="95" t="str"/>
      <x:c r="N13" s="137"/>
      <x:c r="O13" s="132" t="n">
        <x:v>129.912</x:v>
      </x:c>
      <x:c r="P13" s="132" t="n">
        <x:v>143.996</x:v>
      </x:c>
      <x:c r="Q13" s="129" t="str">
        <x:v>Talk</x:v>
      </x:c>
      <x:c r="R13" s="129" t="str">
        <x:v>Aviation exchange</x:v>
      </x:c>
      <x:c r="S13" s="129" t="str">
        <x:v>delivered talk pool</x:v>
      </x:c>
      <x:c r="T13" s="129" t="str"/>
    </x:row>
    <x:row r="14" ht="46" customHeight="1">
      <x:c r="A14" s="94" t="str">
        <x:v>H-CAB-01</x:v>
      </x:c>
      <x:c r="B14" s="94" t="str">
        <x:v>4</x:v>
      </x:c>
      <x:c r="C14" s="94" t="str">
        <x:v>Cabin I arrival</x:v>
      </x:c>
      <x:c r="D14" s="115" t="n">
        <x:v>3</x:v>
      </x:c>
      <x:c r="E14" s="111" t="n">
        <x:f>G13</x:f>
        <x:v>76</x:v>
      </x:c>
      <x:c r="F14" s="111" t="n">
        <x:v>30</x:v>
      </x:c>
      <x:c r="G14" s="111" t="n">
        <x:f>E14+F14</x:f>
        <x:v>106</x:v>
      </x:c>
      <x:c r="H14" s="94" t="str">
        <x:v>talkFirst</x:v>
      </x:c>
      <x:c r="I14" s="94" t="str">
        <x:v>Song</x:v>
      </x:c>
      <x:c r="J14" s="94" t="str">
        <x:v>Through the Night</x:v>
      </x:c>
      <x:c r="K14" s="94" t="str">
        <x:v>through-the-night.mp3</x:v>
      </x:c>
      <x:c r="L14" s="94" t="str">
        <x:v>EXISTING</x:v>
      </x:c>
      <x:c r="M14" s="94" t="str">
        <x:v>30s station edit</x:v>
      </x:c>
      <x:c r="N14" s="137"/>
      <x:c r="O14" s="132" t="n">
        <x:v>145.396</x:v>
      </x:c>
      <x:c r="P14" s="132" t="n">
        <x:v>276.46</x:v>
      </x:c>
      <x:c r="Q14" s="129" t="str">
        <x:v>Ad</x:v>
      </x:c>
      <x:c r="R14" s="129" t="str">
        <x:v>Full station-promo commercial block</x:v>
      </x:c>
      <x:c r="S14" s="129" t="str">
        <x:v>station promo</x:v>
      </x:c>
      <x:c r="T14" s="129" t="str">
        <x:v>~131s delivered block consumes almost half the window</x:v>
      </x:c>
    </x:row>
    <x:row r="15" ht="46" customHeight="1">
      <x:c r="A15" s="95" t="str">
        <x:v>H-CAB-01</x:v>
      </x:c>
      <x:c r="B15" s="95" t="str">
        <x:v>4</x:v>
      </x:c>
      <x:c r="C15" s="95" t="str">
        <x:v>Cabin I arrival</x:v>
      </x:c>
      <x:c r="D15" s="116" t="n">
        <x:v>4</x:v>
      </x:c>
      <x:c r="E15" s="112" t="n">
        <x:f>G14</x:f>
        <x:v>106</x:v>
      </x:c>
      <x:c r="F15" s="112" t="n">
        <x:v>35</x:v>
      </x:c>
      <x:c r="G15" s="112" t="n">
        <x:f>E15+F15</x:f>
        <x:v>141</x:v>
      </x:c>
      <x:c r="H15" s="95" t="str">
        <x:v>talkFirst</x:v>
      </x:c>
      <x:c r="I15" s="95" t="str">
        <x:v>Bulletin</x:v>
      </x:c>
      <x:c r="J15" s="95" t="str">
        <x:v>Rural weather and road bulletin</x:v>
      </x:c>
      <x:c r="K15" s="95" t="str">
        <x:v>New bulletin</x:v>
      </x:c>
      <x:c r="L15" s="95" t="str">
        <x:v>NEW</x:v>
      </x:c>
      <x:c r="M15" s="95" t="str"/>
      <x:c r="N15" s="137"/>
      <x:c r="O15" s="132" t="n">
        <x:v>277.86</x:v>
      </x:c>
      <x:c r="P15" s="132" t="n">
        <x:v>280.159</x:v>
      </x:c>
      <x:c r="Q15" s="129" t="str">
        <x:v>Reaction</x:v>
      </x:c>
      <x:c r="R15" s="129" t="str">
        <x:v>Ad reaction</x:v>
      </x:c>
      <x:c r="S15" s="129" t="str">
        <x:v>vo.radio.ad.1</x:v>
      </x:c>
      <x:c r="T15" s="129" t="str"/>
    </x:row>
    <x:row r="16" ht="46" customHeight="1">
      <x:c r="A16" s="94" t="str">
        <x:v>H-CAB-01</x:v>
      </x:c>
      <x:c r="B16" s="94" t="str">
        <x:v>4</x:v>
      </x:c>
      <x:c r="C16" s="94" t="str">
        <x:v>Cabin I arrival</x:v>
      </x:c>
      <x:c r="D16" s="115" t="n">
        <x:v>5</x:v>
      </x:c>
      <x:c r="E16" s="111" t="n">
        <x:f>G15</x:f>
        <x:v>141</x:v>
      </x:c>
      <x:c r="F16" s="111" t="n">
        <x:v>80</x:v>
      </x:c>
      <x:c r="G16" s="111" t="n">
        <x:f>E16+F16</x:f>
        <x:v>221</x:v>
      </x:c>
      <x:c r="H16" s="94" t="str">
        <x:v>talkFirst</x:v>
      </x:c>
      <x:c r="I16" s="94" t="str">
        <x:v>Talk</x:v>
      </x:c>
      <x:c r="J16" s="94" t="str">
        <x:v>New overnight host block that rewards exterior exploration</x:v>
      </x:c>
      <x:c r="K16" s="94" t="str">
        <x:v>New script + new recording</x:v>
      </x:c>
      <x:c r="L16" s="94" t="str">
        <x:v>NEW</x:v>
      </x:c>
      <x:c r="M16" s="94" t="str">
        <x:v>Visit-specific material; mark heard only after completion</x:v>
      </x:c>
      <x:c r="N16" s="137"/>
      <x:c r="O16" s="132" t="n">
        <x:v>281.559</x:v>
      </x:c>
      <x:c r="P16" s="132" t="n">
        <x:v>297.264</x:v>
      </x:c>
      <x:c r="Q16" s="129" t="str">
        <x:v>Talk + link</x:v>
      </x:c>
      <x:c r="R16" s="129" t="str">
        <x:v>Talk exchange and link</x:v>
      </x:c>
      <x:c r="S16" s="129" t="str">
        <x:v>delivered pool</x:v>
      </x:c>
      <x:c r="T16" s="129" t="str"/>
    </x:row>
    <x:row r="17" ht="46" customHeight="1">
      <x:c r="A17" s="95" t="str">
        <x:v>H-CAB-01</x:v>
      </x:c>
      <x:c r="B17" s="95" t="str">
        <x:v>4</x:v>
      </x:c>
      <x:c r="C17" s="95" t="str">
        <x:v>Cabin I arrival</x:v>
      </x:c>
      <x:c r="D17" s="116" t="n">
        <x:v>6</x:v>
      </x:c>
      <x:c r="E17" s="112" t="n">
        <x:f>G16</x:f>
        <x:v>221</x:v>
      </x:c>
      <x:c r="F17" s="112" t="n">
        <x:v>30</x:v>
      </x:c>
      <x:c r="G17" s="112" t="n">
        <x:f>E17+F17</x:f>
        <x:v>251</x:v>
      </x:c>
      <x:c r="H17" s="95" t="str">
        <x:v>talkFirst</x:v>
      </x:c>
      <x:c r="I17" s="95" t="str">
        <x:v>Song</x:v>
      </x:c>
      <x:c r="J17" s="95" t="str">
        <x:v>I Ain’t Gay</x:v>
      </x:c>
      <x:c r="K17" s="95" t="str">
        <x:v>i-aint-gay.mp3</x:v>
      </x:c>
      <x:c r="L17" s="95" t="str">
        <x:v>EXISTING</x:v>
      </x:c>
      <x:c r="M17" s="95" t="str">
        <x:v>30s station edit</x:v>
      </x:c>
      <x:c r="N17" s="137"/>
      <x:c r="O17" s="133" t="n">
        <x:v>298.664</x:v>
      </x:c>
      <x:c r="P17" s="133" t="n">
        <x:v>300</x:v>
      </x:c>
      <x:c r="Q17" s="130" t="str">
        <x:v>Song</x:v>
      </x:c>
      <x:c r="R17" s="130" t="str">
        <x:v>Through the Night begins</x:v>
      </x:c>
      <x:c r="S17" s="130" t="str">
        <x:v>through-the-night.mp3</x:v>
      </x:c>
      <x:c r="T17" s="130" t="str">
        <x:v>Continues beyond five-minute boundary</x:v>
      </x:c>
    </x:row>
    <x:row r="18" ht="46" customHeight="1">
      <x:c r="A18" s="94" t="str">
        <x:v>H-CAB-01</x:v>
      </x:c>
      <x:c r="B18" s="94" t="str">
        <x:v>4</x:v>
      </x:c>
      <x:c r="C18" s="94" t="str">
        <x:v>Cabin I arrival</x:v>
      </x:c>
      <x:c r="D18" s="115" t="n">
        <x:v>7</x:v>
      </x:c>
      <x:c r="E18" s="111" t="n">
        <x:f>G17</x:f>
        <x:v>251</x:v>
      </x:c>
      <x:c r="F18" s="111" t="n">
        <x:v>49</x:v>
      </x:c>
      <x:c r="G18" s="111" t="n">
        <x:f>E18+F18</x:f>
        <x:v>300</x:v>
      </x:c>
      <x:c r="H18" s="94" t="str">
        <x:v>talkFirst</x:v>
      </x:c>
      <x:c r="I18" s="94" t="str">
        <x:v>Link / ad</x:v>
      </x:c>
      <x:c r="J18" s="94" t="str">
        <x:v>Short station link, approved ad, and packet handoff</x:v>
      </x:c>
      <x:c r="K18" s="94" t="str">
        <x:v>Existing short cues + new edit</x:v>
      </x:c>
      <x:c r="L18" s="94" t="str">
        <x:v>PARTIAL</x:v>
      </x:c>
      <x:c r="M18" s="94" t="str">
        <x:v>Total packet target = 300s; then resume generic rotation</x:v>
      </x:c>
      <x:c r="N18" s="137"/>
      <x:c r="O18" s="137"/>
      <x:c r="P18" s="137"/>
      <x:c r="Q18" s="137"/>
      <x:c r="R18" s="137"/>
      <x:c r="S18" s="137"/>
      <x:c r="T18" s="137"/>
    </x:row>
    <x:row r="19" ht="46" customHeight="1">
      <x:c r="A19" s="95" t="str">
        <x:v>H-CAB-02</x:v>
      </x:c>
      <x:c r="B19" s="95" t="str">
        <x:v>5</x:v>
      </x:c>
      <x:c r="C19" s="95" t="str">
        <x:v>Cabin post-rest</x:v>
      </x:c>
      <x:c r="D19" s="116" t="n">
        <x:v>1</x:v>
      </x:c>
      <x:c r="E19" s="112" t="n">
        <x:v>0</x:v>
      </x:c>
      <x:c r="F19" s="112" t="n">
        <x:v>4</x:v>
      </x:c>
      <x:c r="G19" s="112" t="n">
        <x:f>E19+F19</x:f>
        <x:v>4</x:v>
      </x:c>
      <x:c r="H19" s="95" t="str">
        <x:v>talkFirst</x:v>
      </x:c>
      <x:c r="I19" s="95" t="str">
        <x:v>Ident</x:v>
      </x:c>
      <x:c r="J19" s="95" t="str">
        <x:v>97.8 THE SQUATCH ident</x:v>
      </x:c>
      <x:c r="K19" s="95" t="str">
        <x:v>radio.ident.squatch</x:v>
      </x:c>
      <x:c r="L19" s="95" t="str">
        <x:v>EXISTING</x:v>
      </x:c>
      <x:c r="M19" s="95" t="str">
        <x:v>Run before show intro; no overlap</x:v>
      </x:c>
      <x:c r="N19" s="137"/>
      <x:c r="O19" s="137"/>
      <x:c r="P19" s="137"/>
      <x:c r="Q19" s="137"/>
      <x:c r="R19" s="137"/>
      <x:c r="S19" s="137"/>
      <x:c r="T19" s="137"/>
    </x:row>
    <x:row r="20" ht="46" customHeight="1">
      <x:c r="A20" s="94" t="str">
        <x:v>H-CAB-02</x:v>
      </x:c>
      <x:c r="B20" s="94" t="str">
        <x:v>5</x:v>
      </x:c>
      <x:c r="C20" s="94" t="str">
        <x:v>Cabin post-rest</x:v>
      </x:c>
      <x:c r="D20" s="115" t="n">
        <x:v>2</x:v>
      </x:c>
      <x:c r="E20" s="111" t="n">
        <x:f>G19</x:f>
        <x:v>4</x:v>
      </x:c>
      <x:c r="F20" s="111" t="n">
        <x:v>72</x:v>
      </x:c>
      <x:c r="G20" s="111" t="n">
        <x:f>E20+F20</x:f>
        <x:v>76</x:v>
      </x:c>
      <x:c r="H20" s="94" t="str">
        <x:v>talkFirst</x:v>
      </x:c>
      <x:c r="I20" s="94" t="str">
        <x:v>Talk</x:v>
      </x:c>
      <x:c r="J20" s="94" t="str">
        <x:v>New Lou &amp; Lou post-rest episode</x:v>
      </x:c>
      <x:c r="K20" s="94" t="str">
        <x:v>New script + new recording</x:v>
      </x:c>
      <x:c r="L20" s="94" t="str">
        <x:v>NEW</x:v>
      </x:c>
      <x:c r="M20" s="94" t="str"/>
      <x:c r="N20" s="137"/>
      <x:c r="O20" s="137"/>
      <x:c r="P20" s="137"/>
      <x:c r="Q20" s="137"/>
      <x:c r="R20" s="137"/>
      <x:c r="S20" s="137"/>
      <x:c r="T20" s="137"/>
    </x:row>
    <x:row r="21" ht="46" customHeight="1">
      <x:c r="A21" s="95" t="str">
        <x:v>H-CAB-02</x:v>
      </x:c>
      <x:c r="B21" s="95" t="str">
        <x:v>5</x:v>
      </x:c>
      <x:c r="C21" s="95" t="str">
        <x:v>Cabin post-rest</x:v>
      </x:c>
      <x:c r="D21" s="116" t="n">
        <x:v>3</x:v>
      </x:c>
      <x:c r="E21" s="112" t="n">
        <x:f>G20</x:f>
        <x:v>76</x:v>
      </x:c>
      <x:c r="F21" s="112" t="n">
        <x:v>30</x:v>
      </x:c>
      <x:c r="G21" s="112" t="n">
        <x:f>E21+F21</x:f>
        <x:v>106</x:v>
      </x:c>
      <x:c r="H21" s="95" t="str">
        <x:v>talkFirst</x:v>
      </x:c>
      <x:c r="I21" s="95" t="str">
        <x:v>Song</x:v>
      </x:c>
      <x:c r="J21" s="95" t="str">
        <x:v>Good Ole Days</x:v>
      </x:c>
      <x:c r="K21" s="95" t="str">
        <x:v>good-ole-days.mp3</x:v>
      </x:c>
      <x:c r="L21" s="95" t="str">
        <x:v>EXISTING</x:v>
      </x:c>
      <x:c r="M21" s="95" t="str">
        <x:v>30s station edit</x:v>
      </x:c>
      <x:c r="N21" s="137"/>
      <x:c r="O21" s="137"/>
      <x:c r="P21" s="137"/>
      <x:c r="Q21" s="137"/>
      <x:c r="R21" s="137"/>
      <x:c r="S21" s="137"/>
      <x:c r="T21" s="137"/>
    </x:row>
    <x:row r="22" ht="46" customHeight="1">
      <x:c r="A22" s="94" t="str">
        <x:v>H-CAB-02</x:v>
      </x:c>
      <x:c r="B22" s="94" t="str">
        <x:v>5</x:v>
      </x:c>
      <x:c r="C22" s="94" t="str">
        <x:v>Cabin post-rest</x:v>
      </x:c>
      <x:c r="D22" s="115" t="n">
        <x:v>4</x:v>
      </x:c>
      <x:c r="E22" s="111" t="n">
        <x:f>G21</x:f>
        <x:v>106</x:v>
      </x:c>
      <x:c r="F22" s="111" t="n">
        <x:v>35</x:v>
      </x:c>
      <x:c r="G22" s="111" t="n">
        <x:f>E22+F22</x:f>
        <x:v>141</x:v>
      </x:c>
      <x:c r="H22" s="94" t="str">
        <x:v>talkFirst</x:v>
      </x:c>
      <x:c r="I22" s="94" t="str">
        <x:v>News / link</x:v>
      </x:c>
      <x:c r="J22" s="94" t="str">
        <x:v>Rural news and Sasole-adjacent local color without spoiling mission</x:v>
      </x:c>
      <x:c r="K22" s="94" t="str">
        <x:v>New news/link</x:v>
      </x:c>
      <x:c r="L22" s="94" t="str">
        <x:v>NEW</x:v>
      </x:c>
      <x:c r="M22" s="94" t="str"/>
      <x:c r="N22" s="137"/>
      <x:c r="O22" s="137"/>
      <x:c r="P22" s="137"/>
      <x:c r="Q22" s="137"/>
      <x:c r="R22" s="137"/>
      <x:c r="S22" s="137"/>
      <x:c r="T22" s="137"/>
    </x:row>
    <x:row r="23" ht="46" customHeight="1">
      <x:c r="A23" s="95" t="str">
        <x:v>H-CAB-02</x:v>
      </x:c>
      <x:c r="B23" s="95" t="str">
        <x:v>5</x:v>
      </x:c>
      <x:c r="C23" s="95" t="str">
        <x:v>Cabin post-rest</x:v>
      </x:c>
      <x:c r="D23" s="116" t="n">
        <x:v>5</x:v>
      </x:c>
      <x:c r="E23" s="112" t="n">
        <x:f>G22</x:f>
        <x:v>141</x:v>
      </x:c>
      <x:c r="F23" s="112" t="n">
        <x:v>80</x:v>
      </x:c>
      <x:c r="G23" s="112" t="n">
        <x:f>E23+F23</x:f>
        <x:v>221</x:v>
      </x:c>
      <x:c r="H23" s="95" t="str">
        <x:v>talkFirst</x:v>
      </x:c>
      <x:c r="I23" s="95" t="str">
        <x:v>Talk</x:v>
      </x:c>
      <x:c r="J23" s="95" t="str">
        <x:v>New morning block before Booski calls</x:v>
      </x:c>
      <x:c r="K23" s="95" t="str">
        <x:v>New script + new recording</x:v>
      </x:c>
      <x:c r="L23" s="95" t="str">
        <x:v>NEW</x:v>
      </x:c>
      <x:c r="M23" s="95" t="str">
        <x:v>Visit-specific material; mark heard only after completion</x:v>
      </x:c>
      <x:c r="N23" s="137"/>
      <x:c r="O23" s="137"/>
      <x:c r="P23" s="137"/>
      <x:c r="Q23" s="137"/>
      <x:c r="R23" s="137"/>
      <x:c r="S23" s="137"/>
      <x:c r="T23" s="137"/>
    </x:row>
    <x:row r="24" ht="46" customHeight="1">
      <x:c r="A24" s="94" t="str">
        <x:v>H-CAB-02</x:v>
      </x:c>
      <x:c r="B24" s="94" t="str">
        <x:v>5</x:v>
      </x:c>
      <x:c r="C24" s="94" t="str">
        <x:v>Cabin post-rest</x:v>
      </x:c>
      <x:c r="D24" s="115" t="n">
        <x:v>6</x:v>
      </x:c>
      <x:c r="E24" s="111" t="n">
        <x:f>G23</x:f>
        <x:v>221</x:v>
      </x:c>
      <x:c r="F24" s="111" t="n">
        <x:v>30</x:v>
      </x:c>
      <x:c r="G24" s="111" t="n">
        <x:f>E24+F24</x:f>
        <x:v>251</x:v>
      </x:c>
      <x:c r="H24" s="94" t="str">
        <x:v>talkFirst</x:v>
      </x:c>
      <x:c r="I24" s="94" t="str">
        <x:v>Song</x:v>
      </x:c>
      <x:c r="J24" s="94" t="str">
        <x:v>10 Drunk Cigarettes</x:v>
      </x:c>
      <x:c r="K24" s="94" t="str">
        <x:v>10-drunk-cigarettes.mp3</x:v>
      </x:c>
      <x:c r="L24" s="94" t="str">
        <x:v>EXISTING</x:v>
      </x:c>
      <x:c r="M24" s="94" t="str">
        <x:v>30s station edit</x:v>
      </x:c>
      <x:c r="N24" s="137"/>
      <x:c r="O24" s="137"/>
      <x:c r="P24" s="137"/>
      <x:c r="Q24" s="137"/>
      <x:c r="R24" s="137"/>
      <x:c r="S24" s="137"/>
      <x:c r="T24" s="137"/>
    </x:row>
    <x:row r="25" ht="46" customHeight="1">
      <x:c r="A25" s="95" t="str">
        <x:v>H-CAB-02</x:v>
      </x:c>
      <x:c r="B25" s="95" t="str">
        <x:v>5</x:v>
      </x:c>
      <x:c r="C25" s="95" t="str">
        <x:v>Cabin post-rest</x:v>
      </x:c>
      <x:c r="D25" s="116" t="n">
        <x:v>7</x:v>
      </x:c>
      <x:c r="E25" s="112" t="n">
        <x:f>G24</x:f>
        <x:v>251</x:v>
      </x:c>
      <x:c r="F25" s="112" t="n">
        <x:v>49</x:v>
      </x:c>
      <x:c r="G25" s="112" t="n">
        <x:f>E25+F25</x:f>
        <x:v>300</x:v>
      </x:c>
      <x:c r="H25" s="95" t="str">
        <x:v>talkFirst</x:v>
      </x:c>
      <x:c r="I25" s="95" t="str">
        <x:v>Link / ad</x:v>
      </x:c>
      <x:c r="J25" s="95" t="str">
        <x:v>Short station link, approved ad, and packet handoff</x:v>
      </x:c>
      <x:c r="K25" s="95" t="str">
        <x:v>Existing short cues + new edit</x:v>
      </x:c>
      <x:c r="L25" s="95" t="str">
        <x:v>PARTIAL</x:v>
      </x:c>
      <x:c r="M25" s="95" t="str">
        <x:v>Total packet target = 300s; then resume generic rotation</x:v>
      </x:c>
      <x:c r="N25" s="137"/>
      <x:c r="O25" s="137"/>
      <x:c r="P25" s="137"/>
      <x:c r="Q25" s="137"/>
      <x:c r="R25" s="137"/>
      <x:c r="S25" s="137"/>
      <x:c r="T25" s="137"/>
    </x:row>
    <x:row r="26" ht="46" customHeight="1">
      <x:c r="A26" s="94" t="str">
        <x:v>H-CAB-03</x:v>
      </x:c>
      <x:c r="B26" s="94" t="str">
        <x:v>7</x:v>
      </x:c>
      <x:c r="C26" s="94" t="str">
        <x:v>Cabin II return</x:v>
      </x:c>
      <x:c r="D26" s="115" t="n">
        <x:v>1</x:v>
      </x:c>
      <x:c r="E26" s="111" t="n">
        <x:v>0</x:v>
      </x:c>
      <x:c r="F26" s="111" t="n">
        <x:v>4</x:v>
      </x:c>
      <x:c r="G26" s="111" t="n">
        <x:f>E26+F26</x:f>
        <x:v>4</x:v>
      </x:c>
      <x:c r="H26" s="94" t="str">
        <x:v>talkFirst</x:v>
      </x:c>
      <x:c r="I26" s="94" t="str">
        <x:v>Ident</x:v>
      </x:c>
      <x:c r="J26" s="94" t="str">
        <x:v>97.8 THE SQUATCH ident</x:v>
      </x:c>
      <x:c r="K26" s="94" t="str">
        <x:v>radio.ident.squatch</x:v>
      </x:c>
      <x:c r="L26" s="94" t="str">
        <x:v>EXISTING</x:v>
      </x:c>
      <x:c r="M26" s="94" t="str">
        <x:v>Run before show intro; no overlap</x:v>
      </x:c>
      <x:c r="N26" s="137"/>
      <x:c r="O26" s="137"/>
      <x:c r="P26" s="137"/>
      <x:c r="Q26" s="137"/>
      <x:c r="R26" s="137"/>
      <x:c r="S26" s="137"/>
      <x:c r="T26" s="137"/>
    </x:row>
    <x:row r="27" ht="46" customHeight="1">
      <x:c r="A27" s="95" t="str">
        <x:v>H-CAB-03</x:v>
      </x:c>
      <x:c r="B27" s="95" t="str">
        <x:v>7</x:v>
      </x:c>
      <x:c r="C27" s="95" t="str">
        <x:v>Cabin II return</x:v>
      </x:c>
      <x:c r="D27" s="116" t="n">
        <x:v>2</x:v>
      </x:c>
      <x:c r="E27" s="112" t="n">
        <x:f>G26</x:f>
        <x:v>4</x:v>
      </x:c>
      <x:c r="F27" s="112" t="n">
        <x:v>72</x:v>
      </x:c>
      <x:c r="G27" s="112" t="n">
        <x:f>E27+F27</x:f>
        <x:v>76</x:v>
      </x:c>
      <x:c r="H27" s="95" t="str">
        <x:v>talkFirst</x:v>
      </x:c>
      <x:c r="I27" s="95" t="str">
        <x:v>Talk</x:v>
      </x:c>
      <x:c r="J27" s="95" t="str">
        <x:v>New return-from-flight and dungeon-day host block</x:v>
      </x:c>
      <x:c r="K27" s="95" t="str">
        <x:v>New script + new recording</x:v>
      </x:c>
      <x:c r="L27" s="95" t="str">
        <x:v>NEW</x:v>
      </x:c>
      <x:c r="M27" s="95" t="str">
        <x:v>Fresh visit; no reuse of H-CAB-01/02 until complete</x:v>
      </x:c>
      <x:c r="N27" s="137"/>
      <x:c r="O27" s="137"/>
      <x:c r="P27" s="137"/>
      <x:c r="Q27" s="137"/>
      <x:c r="R27" s="137"/>
      <x:c r="S27" s="137"/>
      <x:c r="T27" s="137"/>
    </x:row>
    <x:row r="28" ht="46" customHeight="1">
      <x:c r="A28" s="94" t="str">
        <x:v>H-CAB-03</x:v>
      </x:c>
      <x:c r="B28" s="94" t="str">
        <x:v>7</x:v>
      </x:c>
      <x:c r="C28" s="94" t="str">
        <x:v>Cabin II return</x:v>
      </x:c>
      <x:c r="D28" s="115" t="n">
        <x:v>3</x:v>
      </x:c>
      <x:c r="E28" s="111" t="n">
        <x:f>G27</x:f>
        <x:v>76</x:v>
      </x:c>
      <x:c r="F28" s="111" t="n">
        <x:v>15</x:v>
      </x:c>
      <x:c r="G28" s="111" t="n">
        <x:f>E28+F28</x:f>
        <x:v>91</x:v>
      </x:c>
      <x:c r="H28" s="94" t="str">
        <x:v>talkFirst</x:v>
      </x:c>
      <x:c r="I28" s="94" t="str">
        <x:v>Song</x:v>
      </x:c>
      <x:c r="J28" s="94" t="str">
        <x:v>Nehoo With a Guu 0:00–0:15</x:v>
      </x:c>
      <x:c r="K28" s="94" t="str">
        <x:v>nehoo-with-a-guu.mp3</x:v>
      </x:c>
      <x:c r="L28" s="94" t="str">
        <x:v>BROKEN CURRENTLY</x:v>
      </x:c>
      <x:c r="M28" s="94" t="str">
        <x:v>Must hard-cut at exactly 15.0s</x:v>
      </x:c>
      <x:c r="N28" s="137"/>
      <x:c r="O28" s="137"/>
      <x:c r="P28" s="137"/>
      <x:c r="Q28" s="137"/>
      <x:c r="R28" s="137"/>
      <x:c r="S28" s="137"/>
      <x:c r="T28" s="137"/>
    </x:row>
    <x:row r="29" ht="46" customHeight="1">
      <x:c r="A29" s="95" t="str">
        <x:v>H-CAB-03</x:v>
      </x:c>
      <x:c r="B29" s="95" t="str">
        <x:v>7</x:v>
      </x:c>
      <x:c r="C29" s="95" t="str">
        <x:v>Cabin II return</x:v>
      </x:c>
      <x:c r="D29" s="116" t="n">
        <x:v>4</x:v>
      </x:c>
      <x:c r="E29" s="112" t="n">
        <x:f>G28</x:f>
        <x:v>91</x:v>
      </x:c>
      <x:c r="F29" s="112" t="n">
        <x:v>50</x:v>
      </x:c>
      <x:c r="G29" s="112" t="n">
        <x:f>E29+F29</x:f>
        <x:v>141</x:v>
      </x:c>
      <x:c r="H29" s="95" t="str">
        <x:v>talkFirst</x:v>
      </x:c>
      <x:c r="I29" s="95" t="str">
        <x:v>Ad</x:v>
      </x:c>
      <x:c r="J29" s="95" t="str">
        <x:v>Dedicated Nehoo interruption ad</x:v>
      </x:c>
      <x:c r="K29" s="95" t="str">
        <x:v>ad.neehu</x:v>
      </x:c>
      <x:c r="L29" s="95" t="str">
        <x:v>NEW</x:v>
      </x:c>
      <x:c r="M29" s="95" t="str">
        <x:v>Must start immediately after the 15s cut</x:v>
      </x:c>
      <x:c r="N29" s="137"/>
      <x:c r="O29" s="137"/>
      <x:c r="P29" s="137"/>
      <x:c r="Q29" s="137"/>
      <x:c r="R29" s="137"/>
      <x:c r="S29" s="137"/>
      <x:c r="T29" s="137"/>
    </x:row>
    <x:row r="30" ht="46" customHeight="1">
      <x:c r="A30" s="94" t="str">
        <x:v>H-CAB-03</x:v>
      </x:c>
      <x:c r="B30" s="94" t="str">
        <x:v>7</x:v>
      </x:c>
      <x:c r="C30" s="94" t="str">
        <x:v>Cabin II return</x:v>
      </x:c>
      <x:c r="D30" s="115" t="n">
        <x:v>5</x:v>
      </x:c>
      <x:c r="E30" s="111" t="n">
        <x:f>G29</x:f>
        <x:v>141</x:v>
      </x:c>
      <x:c r="F30" s="111" t="n">
        <x:v>80</x:v>
      </x:c>
      <x:c r="G30" s="111" t="n">
        <x:f>E30+F30</x:f>
        <x:v>221</x:v>
      </x:c>
      <x:c r="H30" s="94" t="str">
        <x:v>talkFirst</x:v>
      </x:c>
      <x:c r="I30" s="94" t="str">
        <x:v>Talk</x:v>
      </x:c>
      <x:c r="J30" s="94" t="str">
        <x:v>New Cabin II block and evening tease</x:v>
      </x:c>
      <x:c r="K30" s="94" t="str">
        <x:v>New script + new recording</x:v>
      </x:c>
      <x:c r="L30" s="94" t="str">
        <x:v>NEW</x:v>
      </x:c>
      <x:c r="M30" s="94" t="str">
        <x:v>Visit-specific material; mark heard only after completion</x:v>
      </x:c>
      <x:c r="N30" s="137"/>
      <x:c r="O30" s="137"/>
      <x:c r="P30" s="137"/>
      <x:c r="Q30" s="137"/>
      <x:c r="R30" s="137"/>
      <x:c r="S30" s="137"/>
      <x:c r="T30" s="137"/>
    </x:row>
    <x:row r="31" ht="46" customHeight="1">
      <x:c r="A31" s="95" t="str">
        <x:v>H-CAB-03</x:v>
      </x:c>
      <x:c r="B31" s="95" t="str">
        <x:v>7</x:v>
      </x:c>
      <x:c r="C31" s="95" t="str">
        <x:v>Cabin II return</x:v>
      </x:c>
      <x:c r="D31" s="116" t="n">
        <x:v>6</x:v>
      </x:c>
      <x:c r="E31" s="112" t="n">
        <x:f>G30</x:f>
        <x:v>221</x:v>
      </x:c>
      <x:c r="F31" s="112" t="n">
        <x:v>30</x:v>
      </x:c>
      <x:c r="G31" s="112" t="n">
        <x:f>E31+F31</x:f>
        <x:v>251</x:v>
      </x:c>
      <x:c r="H31" s="95" t="str">
        <x:v>talkFirst</x:v>
      </x:c>
      <x:c r="I31" s="95" t="str">
        <x:v>Song</x:v>
      </x:c>
      <x:c r="J31" s="95" t="str">
        <x:v>10 Drunk Cigarettes</x:v>
      </x:c>
      <x:c r="K31" s="95" t="str">
        <x:v>10-drunk-cigarettes.mp3</x:v>
      </x:c>
      <x:c r="L31" s="95" t="str">
        <x:v>EXISTING</x:v>
      </x:c>
      <x:c r="M31" s="95" t="str">
        <x:v>30s station edit</x:v>
      </x:c>
      <x:c r="N31" s="137"/>
      <x:c r="O31" s="137"/>
      <x:c r="P31" s="137"/>
      <x:c r="Q31" s="137"/>
      <x:c r="R31" s="137"/>
      <x:c r="S31" s="137"/>
      <x:c r="T31" s="137"/>
    </x:row>
    <x:row r="32" ht="46" customHeight="1">
      <x:c r="A32" s="94" t="str">
        <x:v>H-CAB-03</x:v>
      </x:c>
      <x:c r="B32" s="94" t="str">
        <x:v>7</x:v>
      </x:c>
      <x:c r="C32" s="94" t="str">
        <x:v>Cabin II return</x:v>
      </x:c>
      <x:c r="D32" s="115" t="n">
        <x:v>7</x:v>
      </x:c>
      <x:c r="E32" s="111" t="n">
        <x:f>G31</x:f>
        <x:v>251</x:v>
      </x:c>
      <x:c r="F32" s="111" t="n">
        <x:v>49</x:v>
      </x:c>
      <x:c r="G32" s="111" t="n">
        <x:f>E32+F32</x:f>
        <x:v>300</x:v>
      </x:c>
      <x:c r="H32" s="94" t="str">
        <x:v>talkFirst</x:v>
      </x:c>
      <x:c r="I32" s="94" t="str">
        <x:v>Link / ad</x:v>
      </x:c>
      <x:c r="J32" s="94" t="str">
        <x:v>Short station link, approved ad, and packet handoff</x:v>
      </x:c>
      <x:c r="K32" s="94" t="str">
        <x:v>Existing short cues + new edit</x:v>
      </x:c>
      <x:c r="L32" s="94" t="str">
        <x:v>PARTIAL</x:v>
      </x:c>
      <x:c r="M32" s="94" t="str">
        <x:v>Total packet target = 300s; then resume generic rotation</x:v>
      </x:c>
      <x:c r="N32" s="137"/>
      <x:c r="O32" s="137"/>
      <x:c r="P32" s="137"/>
      <x:c r="Q32" s="137"/>
      <x:c r="R32" s="137"/>
      <x:c r="S32" s="137"/>
      <x:c r="T32" s="137"/>
    </x:row>
    <x:row r="33" ht="46" customHeight="1">
      <x:c r="A33" s="95" t="str">
        <x:v>H-APT-02</x:v>
      </x:c>
      <x:c r="B33" s="95" t="str">
        <x:v>11</x:v>
      </x:c>
      <x:c r="C33" s="95" t="str">
        <x:v>Old Apartment after Motel</x:v>
      </x:c>
      <x:c r="D33" s="116" t="n">
        <x:v>1</x:v>
      </x:c>
      <x:c r="E33" s="112" t="n">
        <x:v>0</x:v>
      </x:c>
      <x:c r="F33" s="112" t="n">
        <x:v>4</x:v>
      </x:c>
      <x:c r="G33" s="112" t="n">
        <x:f>E33+F33</x:f>
        <x:v>4</x:v>
      </x:c>
      <x:c r="H33" s="95" t="str">
        <x:v>talkFirst</x:v>
      </x:c>
      <x:c r="I33" s="95" t="str">
        <x:v>Ident</x:v>
      </x:c>
      <x:c r="J33" s="95" t="str">
        <x:v>97.8 THE SQUATCH ident</x:v>
      </x:c>
      <x:c r="K33" s="95" t="str">
        <x:v>radio.ident.squatch</x:v>
      </x:c>
      <x:c r="L33" s="95" t="str">
        <x:v>EXISTING</x:v>
      </x:c>
      <x:c r="M33" s="95" t="str">
        <x:v>Run before show intro; no overlap</x:v>
      </x:c>
      <x:c r="N33" s="137"/>
      <x:c r="O33" s="137"/>
      <x:c r="P33" s="137"/>
      <x:c r="Q33" s="137"/>
      <x:c r="R33" s="137"/>
      <x:c r="S33" s="137"/>
      <x:c r="T33" s="137"/>
    </x:row>
    <x:row r="34" ht="46" customHeight="1">
      <x:c r="A34" s="94" t="str">
        <x:v>H-APT-02</x:v>
      </x:c>
      <x:c r="B34" s="94" t="str">
        <x:v>11</x:v>
      </x:c>
      <x:c r="C34" s="94" t="str">
        <x:v>Old Apartment after Motel</x:v>
      </x:c>
      <x:c r="D34" s="115" t="n">
        <x:v>2</x:v>
      </x:c>
      <x:c r="E34" s="111" t="n">
        <x:f>G33</x:f>
        <x:v>4</x:v>
      </x:c>
      <x:c r="F34" s="111" t="n">
        <x:v>72</x:v>
      </x:c>
      <x:c r="G34" s="111" t="n">
        <x:f>E34+F34</x:f>
        <x:v>76</x:v>
      </x:c>
      <x:c r="H34" s="94" t="str">
        <x:v>talkFirst</x:v>
      </x:c>
      <x:c r="I34" s="94" t="str">
        <x:v>Talk</x:v>
      </x:c>
      <x:c r="J34" s="94" t="str">
        <x:v>New decompression show block after the motel night</x:v>
      </x:c>
      <x:c r="K34" s="94" t="str">
        <x:v>New script + new recording</x:v>
      </x:c>
      <x:c r="L34" s="94" t="str">
        <x:v>NEW</x:v>
      </x:c>
      <x:c r="M34" s="94" t="str"/>
      <x:c r="N34" s="137"/>
      <x:c r="O34" s="137"/>
      <x:c r="P34" s="137"/>
      <x:c r="Q34" s="137"/>
      <x:c r="R34" s="137"/>
      <x:c r="S34" s="137"/>
      <x:c r="T34" s="137"/>
    </x:row>
    <x:row r="35" ht="46" customHeight="1">
      <x:c r="A35" s="95" t="str">
        <x:v>H-APT-02</x:v>
      </x:c>
      <x:c r="B35" s="95" t="str">
        <x:v>11</x:v>
      </x:c>
      <x:c r="C35" s="95" t="str">
        <x:v>Old Apartment after Motel</x:v>
      </x:c>
      <x:c r="D35" s="116" t="n">
        <x:v>3</x:v>
      </x:c>
      <x:c r="E35" s="112" t="n">
        <x:f>G34</x:f>
        <x:v>76</x:v>
      </x:c>
      <x:c r="F35" s="112" t="n">
        <x:v>30</x:v>
      </x:c>
      <x:c r="G35" s="112" t="n">
        <x:f>E35+F35</x:f>
        <x:v>106</x:v>
      </x:c>
      <x:c r="H35" s="95" t="str">
        <x:v>talkFirst</x:v>
      </x:c>
      <x:c r="I35" s="95" t="str">
        <x:v>Song</x:v>
      </x:c>
      <x:c r="J35" s="95" t="str">
        <x:v>Through the Night</x:v>
      </x:c>
      <x:c r="K35" s="95" t="str">
        <x:v>through-the-night.mp3</x:v>
      </x:c>
      <x:c r="L35" s="95" t="str">
        <x:v>EXISTING</x:v>
      </x:c>
      <x:c r="M35" s="95" t="str">
        <x:v>30s station edit</x:v>
      </x:c>
      <x:c r="N35" s="137"/>
      <x:c r="O35" s="137"/>
      <x:c r="P35" s="137"/>
      <x:c r="Q35" s="137"/>
      <x:c r="R35" s="137"/>
      <x:c r="S35" s="137"/>
      <x:c r="T35" s="137"/>
    </x:row>
    <x:row r="36" ht="46" customHeight="1">
      <x:c r="A36" s="94" t="str">
        <x:v>H-APT-02</x:v>
      </x:c>
      <x:c r="B36" s="94" t="str">
        <x:v>11</x:v>
      </x:c>
      <x:c r="C36" s="94" t="str">
        <x:v>Old Apartment after Motel</x:v>
      </x:c>
      <x:c r="D36" s="115" t="n">
        <x:v>4</x:v>
      </x:c>
      <x:c r="E36" s="111" t="n">
        <x:f>G35</x:f>
        <x:v>106</x:v>
      </x:c>
      <x:c r="F36" s="111" t="n">
        <x:v>35</x:v>
      </x:c>
      <x:c r="G36" s="111" t="n">
        <x:f>E36+F36</x:f>
        <x:v>141</x:v>
      </x:c>
      <x:c r="H36" s="94" t="str">
        <x:v>talkFirst</x:v>
      </x:c>
      <x:c r="I36" s="94" t="str">
        <x:v>News</x:v>
      </x:c>
      <x:c r="J36" s="94" t="str">
        <x:v>Motel campaign bulletin</x:v>
      </x:c>
      <x:c r="K36" s="94" t="str">
        <x:v>news.segment.motel</x:v>
      </x:c>
      <x:c r="L36" s="94" t="str">
        <x:v>EXISTING</x:v>
      </x:c>
      <x:c r="M36" s="94" t="str"/>
      <x:c r="N36" s="137"/>
      <x:c r="O36" s="137"/>
      <x:c r="P36" s="137"/>
      <x:c r="Q36" s="137"/>
      <x:c r="R36" s="137"/>
      <x:c r="S36" s="137"/>
      <x:c r="T36" s="137"/>
    </x:row>
    <x:row r="37" ht="46" customHeight="1">
      <x:c r="A37" s="95" t="str">
        <x:v>H-APT-02</x:v>
      </x:c>
      <x:c r="B37" s="95" t="str">
        <x:v>11</x:v>
      </x:c>
      <x:c r="C37" s="95" t="str">
        <x:v>Old Apartment after Motel</x:v>
      </x:c>
      <x:c r="D37" s="116" t="n">
        <x:v>5</x:v>
      </x:c>
      <x:c r="E37" s="112" t="n">
        <x:f>G36</x:f>
        <x:v>141</x:v>
      </x:c>
      <x:c r="F37" s="112" t="n">
        <x:v>80</x:v>
      </x:c>
      <x:c r="G37" s="112" t="n">
        <x:f>E37+F37</x:f>
        <x:v>221</x:v>
      </x:c>
      <x:c r="H37" s="95" t="str">
        <x:v>talkFirst</x:v>
      </x:c>
      <x:c r="I37" s="95" t="str">
        <x:v>Talk</x:v>
      </x:c>
      <x:c r="J37" s="95" t="str">
        <x:v>New host follow-up that frames the daylight return</x:v>
      </x:c>
      <x:c r="K37" s="95" t="str">
        <x:v>New script + new recording</x:v>
      </x:c>
      <x:c r="L37" s="95" t="str">
        <x:v>NEW</x:v>
      </x:c>
      <x:c r="M37" s="95" t="str">
        <x:v>Visit-specific material; mark heard only after completion</x:v>
      </x:c>
      <x:c r="N37" s="137"/>
      <x:c r="O37" s="137"/>
      <x:c r="P37" s="137"/>
      <x:c r="Q37" s="137"/>
      <x:c r="R37" s="137"/>
      <x:c r="S37" s="137"/>
      <x:c r="T37" s="137"/>
    </x:row>
    <x:row r="38" ht="46" customHeight="1">
      <x:c r="A38" s="94" t="str">
        <x:v>H-APT-02</x:v>
      </x:c>
      <x:c r="B38" s="94" t="str">
        <x:v>11</x:v>
      </x:c>
      <x:c r="C38" s="94" t="str">
        <x:v>Old Apartment after Motel</x:v>
      </x:c>
      <x:c r="D38" s="115" t="n">
        <x:v>6</x:v>
      </x:c>
      <x:c r="E38" s="111" t="n">
        <x:f>G37</x:f>
        <x:v>221</x:v>
      </x:c>
      <x:c r="F38" s="111" t="n">
        <x:v>30</x:v>
      </x:c>
      <x:c r="G38" s="111" t="n">
        <x:f>E38+F38</x:f>
        <x:v>251</x:v>
      </x:c>
      <x:c r="H38" s="94" t="str">
        <x:v>talkFirst</x:v>
      </x:c>
      <x:c r="I38" s="94" t="str">
        <x:v>Song</x:v>
      </x:c>
      <x:c r="J38" s="94" t="str">
        <x:v>Good Ole Days</x:v>
      </x:c>
      <x:c r="K38" s="94" t="str">
        <x:v>good-ole-days.mp3</x:v>
      </x:c>
      <x:c r="L38" s="94" t="str">
        <x:v>EXISTING</x:v>
      </x:c>
      <x:c r="M38" s="94" t="str">
        <x:v>30s station edit</x:v>
      </x:c>
      <x:c r="N38" s="137"/>
      <x:c r="O38" s="137"/>
      <x:c r="P38" s="137"/>
      <x:c r="Q38" s="137"/>
      <x:c r="R38" s="137"/>
      <x:c r="S38" s="137"/>
      <x:c r="T38" s="137"/>
    </x:row>
    <x:row r="39" ht="46" customHeight="1">
      <x:c r="A39" s="95" t="str">
        <x:v>H-APT-02</x:v>
      </x:c>
      <x:c r="B39" s="95" t="str">
        <x:v>11</x:v>
      </x:c>
      <x:c r="C39" s="95" t="str">
        <x:v>Old Apartment after Motel</x:v>
      </x:c>
      <x:c r="D39" s="116" t="n">
        <x:v>7</x:v>
      </x:c>
      <x:c r="E39" s="112" t="n">
        <x:f>G38</x:f>
        <x:v>251</x:v>
      </x:c>
      <x:c r="F39" s="112" t="n">
        <x:v>49</x:v>
      </x:c>
      <x:c r="G39" s="112" t="n">
        <x:f>E39+F39</x:f>
        <x:v>300</x:v>
      </x:c>
      <x:c r="H39" s="95" t="str">
        <x:v>talkFirst</x:v>
      </x:c>
      <x:c r="I39" s="95" t="str">
        <x:v>Link / ad</x:v>
      </x:c>
      <x:c r="J39" s="95" t="str">
        <x:v>Short station link, approved ad, and packet handoff</x:v>
      </x:c>
      <x:c r="K39" s="95" t="str">
        <x:v>Existing short cues + new edit</x:v>
      </x:c>
      <x:c r="L39" s="95" t="str">
        <x:v>PARTIAL</x:v>
      </x:c>
      <x:c r="M39" s="95" t="str">
        <x:v>Total packet target = 300s; then resume generic rotation</x:v>
      </x:c>
      <x:c r="N39" s="137"/>
      <x:c r="O39" s="137"/>
      <x:c r="P39" s="137"/>
      <x:c r="Q39" s="137"/>
      <x:c r="R39" s="137"/>
      <x:c r="S39" s="137"/>
      <x:c r="T39" s="137"/>
    </x:row>
    <x:row r="40" ht="46" customHeight="1">
      <x:c r="A40" s="94" t="str">
        <x:v>H-APT-03</x:v>
      </x:c>
      <x:c r="B40" s="94" t="str">
        <x:v>12</x:v>
      </x:c>
      <x:c r="C40" s="94" t="str">
        <x:v>Old Apartment after THE TAKE</x:v>
      </x:c>
      <x:c r="D40" s="115" t="n">
        <x:v>1</x:v>
      </x:c>
      <x:c r="E40" s="111" t="n">
        <x:v>0</x:v>
      </x:c>
      <x:c r="F40" s="111" t="n">
        <x:v>4</x:v>
      </x:c>
      <x:c r="G40" s="111" t="n">
        <x:f>E40+F40</x:f>
        <x:v>4</x:v>
      </x:c>
      <x:c r="H40" s="94" t="str">
        <x:v>talkFirst</x:v>
      </x:c>
      <x:c r="I40" s="94" t="str">
        <x:v>Ident</x:v>
      </x:c>
      <x:c r="J40" s="94" t="str">
        <x:v>97.8 THE SQUATCH ident</x:v>
      </x:c>
      <x:c r="K40" s="94" t="str">
        <x:v>radio.ident.squatch</x:v>
      </x:c>
      <x:c r="L40" s="94" t="str">
        <x:v>EXISTING</x:v>
      </x:c>
      <x:c r="M40" s="94" t="str">
        <x:v>Run before show intro; no overlap</x:v>
      </x:c>
      <x:c r="N40" s="137"/>
      <x:c r="O40" s="137"/>
      <x:c r="P40" s="137"/>
      <x:c r="Q40" s="137"/>
      <x:c r="R40" s="137"/>
      <x:c r="S40" s="137"/>
      <x:c r="T40" s="137"/>
    </x:row>
    <x:row r="41" ht="46" customHeight="1">
      <x:c r="A41" s="95" t="str">
        <x:v>H-APT-03</x:v>
      </x:c>
      <x:c r="B41" s="95" t="str">
        <x:v>12</x:v>
      </x:c>
      <x:c r="C41" s="95" t="str">
        <x:v>Old Apartment after THE TAKE</x:v>
      </x:c>
      <x:c r="D41" s="116" t="n">
        <x:v>2</x:v>
      </x:c>
      <x:c r="E41" s="112" t="n">
        <x:f>G40</x:f>
        <x:v>4</x:v>
      </x:c>
      <x:c r="F41" s="112" t="n">
        <x:v>72</x:v>
      </x:c>
      <x:c r="G41" s="112" t="n">
        <x:f>E41+F41</x:f>
        <x:v>76</x:v>
      </x:c>
      <x:c r="H41" s="95" t="str">
        <x:v>talkFirst</x:v>
      </x:c>
      <x:c r="I41" s="95" t="str">
        <x:v>Talk</x:v>
      </x:c>
      <x:c r="J41" s="95" t="str">
        <x:v>New status-ladder block after the heist</x:v>
      </x:c>
      <x:c r="K41" s="95" t="str">
        <x:v>New script + new recording</x:v>
      </x:c>
      <x:c r="L41" s="95" t="str">
        <x:v>NEW</x:v>
      </x:c>
      <x:c r="M41" s="95" t="str"/>
      <x:c r="N41" s="137"/>
      <x:c r="O41" s="137"/>
      <x:c r="P41" s="137"/>
      <x:c r="Q41" s="137"/>
      <x:c r="R41" s="137"/>
      <x:c r="S41" s="137"/>
      <x:c r="T41" s="137"/>
    </x:row>
    <x:row r="42" ht="46" customHeight="1">
      <x:c r="A42" s="94" t="str">
        <x:v>H-APT-03</x:v>
      </x:c>
      <x:c r="B42" s="94" t="str">
        <x:v>12</x:v>
      </x:c>
      <x:c r="C42" s="94" t="str">
        <x:v>Old Apartment after THE TAKE</x:v>
      </x:c>
      <x:c r="D42" s="115" t="n">
        <x:v>3</x:v>
      </x:c>
      <x:c r="E42" s="111" t="n">
        <x:f>G41</x:f>
        <x:v>76</x:v>
      </x:c>
      <x:c r="F42" s="111" t="n">
        <x:v>30</x:v>
      </x:c>
      <x:c r="G42" s="111" t="n">
        <x:f>E42+F42</x:f>
        <x:v>106</x:v>
      </x:c>
      <x:c r="H42" s="94" t="str">
        <x:v>talkFirst</x:v>
      </x:c>
      <x:c r="I42" s="94" t="str">
        <x:v>Song</x:v>
      </x:c>
      <x:c r="J42" s="94" t="str">
        <x:v>Cosmic Drift</x:v>
      </x:c>
      <x:c r="K42" s="94" t="str">
        <x:v>cosmic-drift.mp3</x:v>
      </x:c>
      <x:c r="L42" s="94" t="str">
        <x:v>EXISTING</x:v>
      </x:c>
      <x:c r="M42" s="94" t="str">
        <x:v>30s station edit</x:v>
      </x:c>
      <x:c r="N42" s="137"/>
      <x:c r="O42" s="137"/>
      <x:c r="P42" s="137"/>
      <x:c r="Q42" s="137"/>
      <x:c r="R42" s="137"/>
      <x:c r="S42" s="137"/>
      <x:c r="T42" s="137"/>
    </x:row>
    <x:row r="43" ht="46" customHeight="1">
      <x:c r="A43" s="95" t="str">
        <x:v>H-APT-03</x:v>
      </x:c>
      <x:c r="B43" s="95" t="str">
        <x:v>12</x:v>
      </x:c>
      <x:c r="C43" s="95" t="str">
        <x:v>Old Apartment after THE TAKE</x:v>
      </x:c>
      <x:c r="D43" s="116" t="n">
        <x:v>4</x:v>
      </x:c>
      <x:c r="E43" s="112" t="n">
        <x:f>G42</x:f>
        <x:v>106</x:v>
      </x:c>
      <x:c r="F43" s="112" t="n">
        <x:v>35</x:v>
      </x:c>
      <x:c r="G43" s="112" t="n">
        <x:f>E43+F43</x:f>
        <x:v>141</x:v>
      </x:c>
      <x:c r="H43" s="95" t="str">
        <x:v>talkFirst</x:v>
      </x:c>
      <x:c r="I43" s="95" t="str">
        <x:v>News</x:v>
      </x:c>
      <x:c r="J43" s="95" t="str">
        <x:v>Heist campaign bulletin</x:v>
      </x:c>
      <x:c r="K43" s="95" t="str">
        <x:v>news.segment.heist</x:v>
      </x:c>
      <x:c r="L43" s="95" t="str">
        <x:v>EXISTING</x:v>
      </x:c>
      <x:c r="M43" s="95" t="str"/>
      <x:c r="N43" s="137"/>
      <x:c r="O43" s="137"/>
      <x:c r="P43" s="137"/>
      <x:c r="Q43" s="137"/>
      <x:c r="R43" s="137"/>
      <x:c r="S43" s="137"/>
      <x:c r="T43" s="137"/>
    </x:row>
    <x:row r="44" ht="46" customHeight="1">
      <x:c r="A44" s="94" t="str">
        <x:v>H-APT-03</x:v>
      </x:c>
      <x:c r="B44" s="94" t="str">
        <x:v>12</x:v>
      </x:c>
      <x:c r="C44" s="94" t="str">
        <x:v>Old Apartment after THE TAKE</x:v>
      </x:c>
      <x:c r="D44" s="115" t="n">
        <x:v>5</x:v>
      </x:c>
      <x:c r="E44" s="111" t="n">
        <x:f>G43</x:f>
        <x:v>141</x:v>
      </x:c>
      <x:c r="F44" s="111" t="n">
        <x:v>80</x:v>
      </x:c>
      <x:c r="G44" s="111" t="n">
        <x:f>E44+F44</x:f>
        <x:v>221</x:v>
      </x:c>
      <x:c r="H44" s="94" t="str">
        <x:v>talkFirst</x:v>
      </x:c>
      <x:c r="I44" s="94" t="str">
        <x:v>Talk</x:v>
      </x:c>
      <x:c r="J44" s="94" t="str">
        <x:v>New transition block teasing the new space without duplicating Lou's call</x:v>
      </x:c>
      <x:c r="K44" s="94" t="str">
        <x:v>New script + new recording</x:v>
      </x:c>
      <x:c r="L44" s="94" t="str">
        <x:v>NEW</x:v>
      </x:c>
      <x:c r="M44" s="94" t="str">
        <x:v>Visit-specific material; mark heard only after completion</x:v>
      </x:c>
      <x:c r="N44" s="137"/>
      <x:c r="O44" s="137"/>
      <x:c r="P44" s="137"/>
      <x:c r="Q44" s="137"/>
      <x:c r="R44" s="137"/>
      <x:c r="S44" s="137"/>
      <x:c r="T44" s="137"/>
    </x:row>
    <x:row r="45" ht="46" customHeight="1">
      <x:c r="A45" s="95" t="str">
        <x:v>H-APT-03</x:v>
      </x:c>
      <x:c r="B45" s="95" t="str">
        <x:v>12</x:v>
      </x:c>
      <x:c r="C45" s="95" t="str">
        <x:v>Old Apartment after THE TAKE</x:v>
      </x:c>
      <x:c r="D45" s="116" t="n">
        <x:v>6</x:v>
      </x:c>
      <x:c r="E45" s="112" t="n">
        <x:f>G44</x:f>
        <x:v>221</x:v>
      </x:c>
      <x:c r="F45" s="112" t="n">
        <x:v>30</x:v>
      </x:c>
      <x:c r="G45" s="112" t="n">
        <x:f>E45+F45</x:f>
        <x:v>251</x:v>
      </x:c>
      <x:c r="H45" s="95" t="str">
        <x:v>talkFirst</x:v>
      </x:c>
      <x:c r="I45" s="95" t="str">
        <x:v>Song</x:v>
      </x:c>
      <x:c r="J45" s="95" t="str">
        <x:v>Good Ole Days</x:v>
      </x:c>
      <x:c r="K45" s="95" t="str">
        <x:v>good-ole-days.mp3</x:v>
      </x:c>
      <x:c r="L45" s="95" t="str">
        <x:v>EXISTING</x:v>
      </x:c>
      <x:c r="M45" s="95" t="str">
        <x:v>30s station edit</x:v>
      </x:c>
      <x:c r="N45" s="137"/>
      <x:c r="O45" s="137"/>
      <x:c r="P45" s="137"/>
      <x:c r="Q45" s="137"/>
      <x:c r="R45" s="137"/>
      <x:c r="S45" s="137"/>
      <x:c r="T45" s="137"/>
    </x:row>
    <x:row r="46" ht="46" customHeight="1">
      <x:c r="A46" s="94" t="str">
        <x:v>H-APT-03</x:v>
      </x:c>
      <x:c r="B46" s="94" t="str">
        <x:v>12</x:v>
      </x:c>
      <x:c r="C46" s="94" t="str">
        <x:v>Old Apartment after THE TAKE</x:v>
      </x:c>
      <x:c r="D46" s="115" t="n">
        <x:v>7</x:v>
      </x:c>
      <x:c r="E46" s="111" t="n">
        <x:f>G45</x:f>
        <x:v>251</x:v>
      </x:c>
      <x:c r="F46" s="111" t="n">
        <x:v>49</x:v>
      </x:c>
      <x:c r="G46" s="111" t="n">
        <x:f>E46+F46</x:f>
        <x:v>300</x:v>
      </x:c>
      <x:c r="H46" s="94" t="str">
        <x:v>talkFirst</x:v>
      </x:c>
      <x:c r="I46" s="94" t="str">
        <x:v>Link / ad</x:v>
      </x:c>
      <x:c r="J46" s="94" t="str">
        <x:v>Short station link, approved ad, and packet handoff</x:v>
      </x:c>
      <x:c r="K46" s="94" t="str">
        <x:v>Existing short cues + new edit</x:v>
      </x:c>
      <x:c r="L46" s="94" t="str">
        <x:v>PARTIAL</x:v>
      </x:c>
      <x:c r="M46" s="94" t="str">
        <x:v>Total packet target = 300s; then resume generic rotation</x:v>
      </x:c>
      <x:c r="N46" s="137"/>
      <x:c r="O46" s="137"/>
      <x:c r="P46" s="137"/>
      <x:c r="Q46" s="137"/>
      <x:c r="R46" s="137"/>
      <x:c r="S46" s="137"/>
      <x:c r="T46" s="137"/>
    </x:row>
    <x:row r="47" ht="46" customHeight="1">
      <x:c r="A47" s="95" t="str">
        <x:v>H-LUX-01</x:v>
      </x:c>
      <x:c r="B47" s="95" t="str">
        <x:v>14</x:v>
      </x:c>
      <x:c r="C47" s="95" t="str">
        <x:v>Luxury arrival</x:v>
      </x:c>
      <x:c r="D47" s="116" t="n">
        <x:v>1</x:v>
      </x:c>
      <x:c r="E47" s="112" t="n">
        <x:v>0</x:v>
      </x:c>
      <x:c r="F47" s="112" t="n">
        <x:v>4</x:v>
      </x:c>
      <x:c r="G47" s="112" t="n">
        <x:f>E47+F47</x:f>
        <x:v>4</x:v>
      </x:c>
      <x:c r="H47" s="95" t="str">
        <x:v>talkFirst</x:v>
      </x:c>
      <x:c r="I47" s="95" t="str">
        <x:v>Ident</x:v>
      </x:c>
      <x:c r="J47" s="95" t="str">
        <x:v>97.8 THE SQUATCH ident</x:v>
      </x:c>
      <x:c r="K47" s="95" t="str">
        <x:v>radio.ident.squatch</x:v>
      </x:c>
      <x:c r="L47" s="95" t="str">
        <x:v>EXISTING</x:v>
      </x:c>
      <x:c r="M47" s="95" t="str">
        <x:v>Run before show intro; no overlap</x:v>
      </x:c>
      <x:c r="N47" s="137"/>
      <x:c r="O47" s="137"/>
      <x:c r="P47" s="137"/>
      <x:c r="Q47" s="137"/>
      <x:c r="R47" s="137"/>
      <x:c r="S47" s="137"/>
      <x:c r="T47" s="137"/>
    </x:row>
    <x:row r="48" ht="46" customHeight="1">
      <x:c r="A48" s="94" t="str">
        <x:v>H-LUX-01</x:v>
      </x:c>
      <x:c r="B48" s="94" t="str">
        <x:v>14</x:v>
      </x:c>
      <x:c r="C48" s="94" t="str">
        <x:v>Luxury arrival</x:v>
      </x:c>
      <x:c r="D48" s="115" t="n">
        <x:v>2</x:v>
      </x:c>
      <x:c r="E48" s="111" t="n">
        <x:f>G47</x:f>
        <x:v>4</x:v>
      </x:c>
      <x:c r="F48" s="111" t="n">
        <x:v>72</x:v>
      </x:c>
      <x:c r="G48" s="111" t="n">
        <x:f>E48+F48</x:f>
        <x:v>76</x:v>
      </x:c>
      <x:c r="H48" s="94" t="str">
        <x:v>talkFirst</x:v>
      </x:c>
      <x:c r="I48" s="94" t="str">
        <x:v>Talk</x:v>
      </x:c>
      <x:c r="J48" s="94" t="str">
        <x:v>New arrival/status episode for the upgraded apartment</x:v>
      </x:c>
      <x:c r="K48" s="94" t="str">
        <x:v>New script + new recording</x:v>
      </x:c>
      <x:c r="L48" s="94" t="str">
        <x:v>NEW</x:v>
      </x:c>
      <x:c r="M48" s="94" t="str"/>
      <x:c r="N48" s="137"/>
      <x:c r="O48" s="137"/>
      <x:c r="P48" s="137"/>
      <x:c r="Q48" s="137"/>
      <x:c r="R48" s="137"/>
      <x:c r="S48" s="137"/>
      <x:c r="T48" s="137"/>
    </x:row>
    <x:row r="49" ht="46" customHeight="1">
      <x:c r="A49" s="95" t="str">
        <x:v>H-LUX-01</x:v>
      </x:c>
      <x:c r="B49" s="95" t="str">
        <x:v>14</x:v>
      </x:c>
      <x:c r="C49" s="95" t="str">
        <x:v>Luxury arrival</x:v>
      </x:c>
      <x:c r="D49" s="116" t="n">
        <x:v>3</x:v>
      </x:c>
      <x:c r="E49" s="112" t="n">
        <x:f>G48</x:f>
        <x:v>76</x:v>
      </x:c>
      <x:c r="F49" s="112" t="n">
        <x:v>30</x:v>
      </x:c>
      <x:c r="G49" s="112" t="n">
        <x:f>E49+F49</x:f>
        <x:v>106</x:v>
      </x:c>
      <x:c r="H49" s="95" t="str">
        <x:v>talkFirst</x:v>
      </x:c>
      <x:c r="I49" s="95" t="str">
        <x:v>Song</x:v>
      </x:c>
      <x:c r="J49" s="95" t="str">
        <x:v>Good Ole Days</x:v>
      </x:c>
      <x:c r="K49" s="95" t="str">
        <x:v>good-ole-days.mp3</x:v>
      </x:c>
      <x:c r="L49" s="95" t="str">
        <x:v>EXISTING</x:v>
      </x:c>
      <x:c r="M49" s="95" t="str">
        <x:v>30s station edit</x:v>
      </x:c>
      <x:c r="N49" s="137"/>
      <x:c r="O49" s="137"/>
      <x:c r="P49" s="137"/>
      <x:c r="Q49" s="137"/>
      <x:c r="R49" s="137"/>
      <x:c r="S49" s="137"/>
      <x:c r="T49" s="137"/>
    </x:row>
    <x:row r="50" ht="46" customHeight="1">
      <x:c r="A50" s="94" t="str">
        <x:v>H-LUX-01</x:v>
      </x:c>
      <x:c r="B50" s="94" t="str">
        <x:v>14</x:v>
      </x:c>
      <x:c r="C50" s="94" t="str">
        <x:v>Luxury arrival</x:v>
      </x:c>
      <x:c r="D50" s="115" t="n">
        <x:v>4</x:v>
      </x:c>
      <x:c r="E50" s="111" t="n">
        <x:f>G49</x:f>
        <x:v>106</x:v>
      </x:c>
      <x:c r="F50" s="111" t="n">
        <x:v>35</x:v>
      </x:c>
      <x:c r="G50" s="111" t="n">
        <x:f>E50+F50</x:f>
        <x:v>141</x:v>
      </x:c>
      <x:c r="H50" s="94" t="str">
        <x:v>talkFirst</x:v>
      </x:c>
      <x:c r="I50" s="94" t="str">
        <x:v>News / link</x:v>
      </x:c>
      <x:c r="J50" s="94" t="str">
        <x:v>Short current campaign wire and station link</x:v>
      </x:c>
      <x:c r="K50" s="94" t="str">
        <x:v>campaign news callback</x:v>
      </x:c>
      <x:c r="L50" s="94" t="str">
        <x:v>PARTIAL</x:v>
      </x:c>
      <x:c r="M50" s="94" t="str">
        <x:v>Luxury news callback is already enabled</x:v>
      </x:c>
      <x:c r="N50" s="137"/>
      <x:c r="O50" s="137"/>
      <x:c r="P50" s="137"/>
      <x:c r="Q50" s="137"/>
      <x:c r="R50" s="137"/>
      <x:c r="S50" s="137"/>
      <x:c r="T50" s="137"/>
    </x:row>
    <x:row r="51" ht="46" customHeight="1">
      <x:c r="A51" s="95" t="str">
        <x:v>H-LUX-01</x:v>
      </x:c>
      <x:c r="B51" s="95" t="str">
        <x:v>14</x:v>
      </x:c>
      <x:c r="C51" s="95" t="str">
        <x:v>Luxury arrival</x:v>
      </x:c>
      <x:c r="D51" s="116" t="n">
        <x:v>5</x:v>
      </x:c>
      <x:c r="E51" s="112" t="n">
        <x:f>G50</x:f>
        <x:v>141</x:v>
      </x:c>
      <x:c r="F51" s="112" t="n">
        <x:v>80</x:v>
      </x:c>
      <x:c r="G51" s="112" t="n">
        <x:f>E51+F51</x:f>
        <x:v>221</x:v>
      </x:c>
      <x:c r="H51" s="95" t="str">
        <x:v>talkFirst</x:v>
      </x:c>
      <x:c r="I51" s="95" t="str">
        <x:v>Talk</x:v>
      </x:c>
      <x:c r="J51" s="95" t="str">
        <x:v>New host material about sudden money and bad taste</x:v>
      </x:c>
      <x:c r="K51" s="95" t="str">
        <x:v>New script + new recording</x:v>
      </x:c>
      <x:c r="L51" s="95" t="str">
        <x:v>NEW</x:v>
      </x:c>
      <x:c r="M51" s="95" t="str">
        <x:v>Visit-specific material; mark heard only after completion</x:v>
      </x:c>
      <x:c r="N51" s="137"/>
      <x:c r="O51" s="137"/>
      <x:c r="P51" s="137"/>
      <x:c r="Q51" s="137"/>
      <x:c r="R51" s="137"/>
      <x:c r="S51" s="137"/>
      <x:c r="T51" s="137"/>
    </x:row>
    <x:row r="52" ht="46" customHeight="1">
      <x:c r="A52" s="94" t="str">
        <x:v>H-LUX-01</x:v>
      </x:c>
      <x:c r="B52" s="94" t="str">
        <x:v>14</x:v>
      </x:c>
      <x:c r="C52" s="94" t="str">
        <x:v>Luxury arrival</x:v>
      </x:c>
      <x:c r="D52" s="115" t="n">
        <x:v>6</x:v>
      </x:c>
      <x:c r="E52" s="111" t="n">
        <x:f>G51</x:f>
        <x:v>221</x:v>
      </x:c>
      <x:c r="F52" s="111" t="n">
        <x:v>30</x:v>
      </x:c>
      <x:c r="G52" s="111" t="n">
        <x:f>E52+F52</x:f>
        <x:v>251</x:v>
      </x:c>
      <x:c r="H52" s="94" t="str">
        <x:v>talkFirst</x:v>
      </x:c>
      <x:c r="I52" s="94" t="str">
        <x:v>Song</x:v>
      </x:c>
      <x:c r="J52" s="94" t="str">
        <x:v>Cosmic Drift</x:v>
      </x:c>
      <x:c r="K52" s="94" t="str">
        <x:v>cosmic-drift.mp3</x:v>
      </x:c>
      <x:c r="L52" s="94" t="str">
        <x:v>EXISTING</x:v>
      </x:c>
      <x:c r="M52" s="94" t="str">
        <x:v>30s station edit</x:v>
      </x:c>
      <x:c r="N52" s="137"/>
      <x:c r="O52" s="137"/>
      <x:c r="P52" s="137"/>
      <x:c r="Q52" s="137"/>
      <x:c r="R52" s="137"/>
      <x:c r="S52" s="137"/>
      <x:c r="T52" s="137"/>
    </x:row>
    <x:row r="53" ht="46" customHeight="1">
      <x:c r="A53" s="95" t="str">
        <x:v>H-LUX-01</x:v>
      </x:c>
      <x:c r="B53" s="95" t="str">
        <x:v>14</x:v>
      </x:c>
      <x:c r="C53" s="95" t="str">
        <x:v>Luxury arrival</x:v>
      </x:c>
      <x:c r="D53" s="116" t="n">
        <x:v>7</x:v>
      </x:c>
      <x:c r="E53" s="112" t="n">
        <x:f>G52</x:f>
        <x:v>251</x:v>
      </x:c>
      <x:c r="F53" s="112" t="n">
        <x:v>49</x:v>
      </x:c>
      <x:c r="G53" s="112" t="n">
        <x:f>E53+F53</x:f>
        <x:v>300</x:v>
      </x:c>
      <x:c r="H53" s="95" t="str">
        <x:v>talkFirst</x:v>
      </x:c>
      <x:c r="I53" s="95" t="str">
        <x:v>Link / ad</x:v>
      </x:c>
      <x:c r="J53" s="95" t="str">
        <x:v>Short station link, approved ad, and packet handoff</x:v>
      </x:c>
      <x:c r="K53" s="95" t="str">
        <x:v>Existing short cues + new edit</x:v>
      </x:c>
      <x:c r="L53" s="95" t="str">
        <x:v>PARTIAL</x:v>
      </x:c>
      <x:c r="M53" s="95" t="str">
        <x:v>Total packet target = 300s; then resume generic rotation</x:v>
      </x:c>
      <x:c r="N53" s="137"/>
      <x:c r="O53" s="137"/>
      <x:c r="P53" s="137"/>
      <x:c r="Q53" s="137"/>
      <x:c r="R53" s="137"/>
      <x:c r="S53" s="137"/>
      <x:c r="T53" s="137"/>
    </x:row>
    <x:row r="54" ht="46" customHeight="1">
      <x:c r="A54" s="94" t="str">
        <x:v>H-LUX-02</x:v>
      </x:c>
      <x:c r="B54" s="94" t="str">
        <x:v>16</x:v>
      </x:c>
      <x:c r="C54" s="94" t="str">
        <x:v>Luxury stayover</x:v>
      </x:c>
      <x:c r="D54" s="115" t="n">
        <x:v>1</x:v>
      </x:c>
      <x:c r="E54" s="111" t="n">
        <x:v>0</x:v>
      </x:c>
      <x:c r="F54" s="111" t="n">
        <x:v>4</x:v>
      </x:c>
      <x:c r="G54" s="111" t="n">
        <x:f>E54+F54</x:f>
        <x:v>4</x:v>
      </x:c>
      <x:c r="H54" s="94" t="str">
        <x:v>talkFirst</x:v>
      </x:c>
      <x:c r="I54" s="94" t="str">
        <x:v>Ident</x:v>
      </x:c>
      <x:c r="J54" s="94" t="str">
        <x:v>97.8 THE SQUATCH ident</x:v>
      </x:c>
      <x:c r="K54" s="94" t="str">
        <x:v>radio.ident.squatch</x:v>
      </x:c>
      <x:c r="L54" s="94" t="str">
        <x:v>EXISTING</x:v>
      </x:c>
      <x:c r="M54" s="94" t="str">
        <x:v>Run before show intro; no overlap</x:v>
      </x:c>
      <x:c r="N54" s="137"/>
      <x:c r="O54" s="137"/>
      <x:c r="P54" s="137"/>
      <x:c r="Q54" s="137"/>
      <x:c r="R54" s="137"/>
      <x:c r="S54" s="137"/>
      <x:c r="T54" s="137"/>
    </x:row>
    <x:row r="55" ht="46" customHeight="1">
      <x:c r="A55" s="95" t="str">
        <x:v>H-LUX-02</x:v>
      </x:c>
      <x:c r="B55" s="95" t="str">
        <x:v>16</x:v>
      </x:c>
      <x:c r="C55" s="95" t="str">
        <x:v>Luxury stayover</x:v>
      </x:c>
      <x:c r="D55" s="116" t="n">
        <x:v>2</x:v>
      </x:c>
      <x:c r="E55" s="112" t="n">
        <x:f>G54</x:f>
        <x:v>4</x:v>
      </x:c>
      <x:c r="F55" s="112" t="n">
        <x:v>72</x:v>
      </x:c>
      <x:c r="G55" s="112" t="n">
        <x:f>E55+F55</x:f>
        <x:v>76</x:v>
      </x:c>
      <x:c r="H55" s="95" t="str">
        <x:v>talkFirst</x:v>
      </x:c>
      <x:c r="I55" s="95" t="str">
        <x:v>Talk</x:v>
      </x:c>
      <x:c r="J55" s="95" t="str">
        <x:v>New Hog Mama late-night episode</x:v>
      </x:c>
      <x:c r="K55" s="95" t="str">
        <x:v>New script + new recording</x:v>
      </x:c>
      <x:c r="L55" s="95" t="str">
        <x:v>NEW</x:v>
      </x:c>
      <x:c r="M55" s="95" t="str"/>
      <x:c r="N55" s="137"/>
      <x:c r="O55" s="137"/>
      <x:c r="P55" s="137"/>
      <x:c r="Q55" s="137"/>
      <x:c r="R55" s="137"/>
      <x:c r="S55" s="137"/>
      <x:c r="T55" s="137"/>
    </x:row>
    <x:row r="56" ht="46" customHeight="1">
      <x:c r="A56" s="94" t="str">
        <x:v>H-LUX-02</x:v>
      </x:c>
      <x:c r="B56" s="94" t="str">
        <x:v>16</x:v>
      </x:c>
      <x:c r="C56" s="94" t="str">
        <x:v>Luxury stayover</x:v>
      </x:c>
      <x:c r="D56" s="115" t="n">
        <x:v>3</x:v>
      </x:c>
      <x:c r="E56" s="111" t="n">
        <x:f>G55</x:f>
        <x:v>76</x:v>
      </x:c>
      <x:c r="F56" s="111" t="n">
        <x:v>30</x:v>
      </x:c>
      <x:c r="G56" s="111" t="n">
        <x:f>E56+F56</x:f>
        <x:v>106</x:v>
      </x:c>
      <x:c r="H56" s="94" t="str">
        <x:v>talkFirst</x:v>
      </x:c>
      <x:c r="I56" s="94" t="str">
        <x:v>Song</x:v>
      </x:c>
      <x:c r="J56" s="94" t="str">
        <x:v>Through the Night</x:v>
      </x:c>
      <x:c r="K56" s="94" t="str">
        <x:v>through-the-night.mp3</x:v>
      </x:c>
      <x:c r="L56" s="94" t="str">
        <x:v>EXISTING</x:v>
      </x:c>
      <x:c r="M56" s="94" t="str">
        <x:v>30s station edit</x:v>
      </x:c>
      <x:c r="N56" s="137"/>
      <x:c r="O56" s="137"/>
      <x:c r="P56" s="137"/>
      <x:c r="Q56" s="137"/>
      <x:c r="R56" s="137"/>
      <x:c r="S56" s="137"/>
      <x:c r="T56" s="137"/>
    </x:row>
    <x:row r="57" ht="46" customHeight="1">
      <x:c r="A57" s="95" t="str">
        <x:v>H-LUX-02</x:v>
      </x:c>
      <x:c r="B57" s="95" t="str">
        <x:v>16</x:v>
      </x:c>
      <x:c r="C57" s="95" t="str">
        <x:v>Luxury stayover</x:v>
      </x:c>
      <x:c r="D57" s="116" t="n">
        <x:v>4</x:v>
      </x:c>
      <x:c r="E57" s="112" t="n">
        <x:f>G56</x:f>
        <x:v>106</x:v>
      </x:c>
      <x:c r="F57" s="112" t="n">
        <x:v>35</x:v>
      </x:c>
      <x:c r="G57" s="112" t="n">
        <x:f>E57+F57</x:f>
        <x:v>141</x:v>
      </x:c>
      <x:c r="H57" s="95" t="str">
        <x:v>talkFirst</x:v>
      </x:c>
      <x:c r="I57" s="95" t="str">
        <x:v>Ad</x:v>
      </x:c>
      <x:c r="J57" s="95" t="str">
        <x:v>Short late-night ad break</x:v>
      </x:c>
      <x:c r="K57" s="95" t="str">
        <x:v>approved ad pool</x:v>
      </x:c>
      <x:c r="L57" s="95" t="str">
        <x:v>EXISTING</x:v>
      </x:c>
      <x:c r="M57" s="95" t="str"/>
      <x:c r="N57" s="137"/>
      <x:c r="O57" s="137"/>
      <x:c r="P57" s="137"/>
      <x:c r="Q57" s="137"/>
      <x:c r="R57" s="137"/>
      <x:c r="S57" s="137"/>
      <x:c r="T57" s="137"/>
    </x:row>
    <x:row r="58" ht="46" customHeight="1">
      <x:c r="A58" s="94" t="str">
        <x:v>H-LUX-02</x:v>
      </x:c>
      <x:c r="B58" s="94" t="str">
        <x:v>16</x:v>
      </x:c>
      <x:c r="C58" s="94" t="str">
        <x:v>Luxury stayover</x:v>
      </x:c>
      <x:c r="D58" s="115" t="n">
        <x:v>5</x:v>
      </x:c>
      <x:c r="E58" s="111" t="n">
        <x:f>G57</x:f>
        <x:v>141</x:v>
      </x:c>
      <x:c r="F58" s="111" t="n">
        <x:v>80</x:v>
      </x:c>
      <x:c r="G58" s="111" t="n">
        <x:f>E58+F58</x:f>
        <x:v>221</x:v>
      </x:c>
      <x:c r="H58" s="94" t="str">
        <x:v>talkFirst</x:v>
      </x:c>
      <x:c r="I58" s="94" t="str">
        <x:v>Talk</x:v>
      </x:c>
      <x:c r="J58" s="94" t="str">
        <x:v>New relationship-safe late-night material; no criminal call interruption</x:v>
      </x:c>
      <x:c r="K58" s="94" t="str">
        <x:v>New script + new recording</x:v>
      </x:c>
      <x:c r="L58" s="94" t="str">
        <x:v>NEW</x:v>
      </x:c>
      <x:c r="M58" s="94" t="str">
        <x:v>Visit-specific material; mark heard only after completion</x:v>
      </x:c>
      <x:c r="N58" s="137"/>
      <x:c r="O58" s="137"/>
      <x:c r="P58" s="137"/>
      <x:c r="Q58" s="137"/>
      <x:c r="R58" s="137"/>
      <x:c r="S58" s="137"/>
      <x:c r="T58" s="137"/>
    </x:row>
    <x:row r="59" ht="46" customHeight="1">
      <x:c r="A59" s="95" t="str">
        <x:v>H-LUX-02</x:v>
      </x:c>
      <x:c r="B59" s="95" t="str">
        <x:v>16</x:v>
      </x:c>
      <x:c r="C59" s="95" t="str">
        <x:v>Luxury stayover</x:v>
      </x:c>
      <x:c r="D59" s="116" t="n">
        <x:v>6</x:v>
      </x:c>
      <x:c r="E59" s="112" t="n">
        <x:f>G58</x:f>
        <x:v>221</x:v>
      </x:c>
      <x:c r="F59" s="112" t="n">
        <x:v>30</x:v>
      </x:c>
      <x:c r="G59" s="112" t="n">
        <x:f>E59+F59</x:f>
        <x:v>251</x:v>
      </x:c>
      <x:c r="H59" s="95" t="str">
        <x:v>talkFirst</x:v>
      </x:c>
      <x:c r="I59" s="95" t="str">
        <x:v>Song</x:v>
      </x:c>
      <x:c r="J59" s="95" t="str">
        <x:v>10 Drunk Cigarettes</x:v>
      </x:c>
      <x:c r="K59" s="95" t="str">
        <x:v>10-drunk-cigarettes.mp3</x:v>
      </x:c>
      <x:c r="L59" s="95" t="str">
        <x:v>EXISTING</x:v>
      </x:c>
      <x:c r="M59" s="95" t="str">
        <x:v>30s station edit</x:v>
      </x:c>
      <x:c r="N59" s="137"/>
      <x:c r="O59" s="137"/>
      <x:c r="P59" s="137"/>
      <x:c r="Q59" s="137"/>
      <x:c r="R59" s="137"/>
      <x:c r="S59" s="137"/>
      <x:c r="T59" s="137"/>
    </x:row>
    <x:row r="60" ht="46" customHeight="1">
      <x:c r="A60" s="94" t="str">
        <x:v>H-LUX-02</x:v>
      </x:c>
      <x:c r="B60" s="94" t="str">
        <x:v>16</x:v>
      </x:c>
      <x:c r="C60" s="94" t="str">
        <x:v>Luxury stayover</x:v>
      </x:c>
      <x:c r="D60" s="115" t="n">
        <x:v>7</x:v>
      </x:c>
      <x:c r="E60" s="111" t="n">
        <x:f>G59</x:f>
        <x:v>251</x:v>
      </x:c>
      <x:c r="F60" s="111" t="n">
        <x:v>49</x:v>
      </x:c>
      <x:c r="G60" s="111" t="n">
        <x:f>E60+F60</x:f>
        <x:v>300</x:v>
      </x:c>
      <x:c r="H60" s="94" t="str">
        <x:v>talkFirst</x:v>
      </x:c>
      <x:c r="I60" s="94" t="str">
        <x:v>Link / ad</x:v>
      </x:c>
      <x:c r="J60" s="94" t="str">
        <x:v>Short station link, approved ad, and packet handoff</x:v>
      </x:c>
      <x:c r="K60" s="94" t="str">
        <x:v>Existing short cues + new edit</x:v>
      </x:c>
      <x:c r="L60" s="94" t="str">
        <x:v>PARTIAL</x:v>
      </x:c>
      <x:c r="M60" s="94" t="str">
        <x:v>Total packet target = 300s; then resume generic rotation</x:v>
      </x:c>
      <x:c r="N60" s="137"/>
      <x:c r="O60" s="137"/>
      <x:c r="P60" s="137"/>
      <x:c r="Q60" s="137"/>
      <x:c r="R60" s="137"/>
      <x:c r="S60" s="137"/>
      <x:c r="T60" s="137"/>
    </x:row>
    <x:row r="61" ht="46" customHeight="1">
      <x:c r="A61" s="95" t="str">
        <x:v>H-LUX-03</x:v>
      </x:c>
      <x:c r="B61" s="95" t="str">
        <x:v>17</x:v>
      </x:c>
      <x:c r="C61" s="95" t="str">
        <x:v>Luxury morning</x:v>
      </x:c>
      <x:c r="D61" s="116" t="n">
        <x:v>1</x:v>
      </x:c>
      <x:c r="E61" s="112" t="n">
        <x:v>0</x:v>
      </x:c>
      <x:c r="F61" s="112" t="n">
        <x:v>4</x:v>
      </x:c>
      <x:c r="G61" s="112" t="n">
        <x:f>E61+F61</x:f>
        <x:v>4</x:v>
      </x:c>
      <x:c r="H61" s="95" t="str">
        <x:v>talkFirst</x:v>
      </x:c>
      <x:c r="I61" s="95" t="str">
        <x:v>Ident</x:v>
      </x:c>
      <x:c r="J61" s="95" t="str">
        <x:v>97.8 THE SQUATCH ident</x:v>
      </x:c>
      <x:c r="K61" s="95" t="str">
        <x:v>radio.ident.squatch</x:v>
      </x:c>
      <x:c r="L61" s="95" t="str">
        <x:v>EXISTING</x:v>
      </x:c>
      <x:c r="M61" s="95" t="str">
        <x:v>Run before show intro; no overlap</x:v>
      </x:c>
      <x:c r="N61" s="137"/>
      <x:c r="O61" s="137"/>
      <x:c r="P61" s="137"/>
      <x:c r="Q61" s="137"/>
      <x:c r="R61" s="137"/>
      <x:c r="S61" s="137"/>
      <x:c r="T61" s="137"/>
    </x:row>
    <x:row r="62" ht="46" customHeight="1">
      <x:c r="A62" s="94" t="str">
        <x:v>H-LUX-03</x:v>
      </x:c>
      <x:c r="B62" s="94" t="str">
        <x:v>17</x:v>
      </x:c>
      <x:c r="C62" s="94" t="str">
        <x:v>Luxury morning</x:v>
      </x:c>
      <x:c r="D62" s="115" t="n">
        <x:v>2</x:v>
      </x:c>
      <x:c r="E62" s="111" t="n">
        <x:f>G61</x:f>
        <x:v>4</x:v>
      </x:c>
      <x:c r="F62" s="111" t="n">
        <x:v>72</x:v>
      </x:c>
      <x:c r="G62" s="111" t="n">
        <x:f>E62+F62</x:f>
        <x:v>76</x:v>
      </x:c>
      <x:c r="H62" s="94" t="str">
        <x:v>talkFirst</x:v>
      </x:c>
      <x:c r="I62" s="94" t="str">
        <x:v>Talk</x:v>
      </x:c>
      <x:c r="J62" s="94" t="str">
        <x:v>New Lou &amp; Lou morning episode</x:v>
      </x:c>
      <x:c r="K62" s="94" t="str">
        <x:v>New script + new recording</x:v>
      </x:c>
      <x:c r="L62" s="94" t="str">
        <x:v>NEW</x:v>
      </x:c>
      <x:c r="M62" s="94" t="str"/>
      <x:c r="N62" s="137"/>
      <x:c r="O62" s="137"/>
      <x:c r="P62" s="137"/>
      <x:c r="Q62" s="137"/>
      <x:c r="R62" s="137"/>
      <x:c r="S62" s="137"/>
      <x:c r="T62" s="137"/>
    </x:row>
    <x:row r="63" ht="46" customHeight="1">
      <x:c r="A63" s="95" t="str">
        <x:v>H-LUX-03</x:v>
      </x:c>
      <x:c r="B63" s="95" t="str">
        <x:v>17</x:v>
      </x:c>
      <x:c r="C63" s="95" t="str">
        <x:v>Luxury morning</x:v>
      </x:c>
      <x:c r="D63" s="116" t="n">
        <x:v>3</x:v>
      </x:c>
      <x:c r="E63" s="112" t="n">
        <x:f>G62</x:f>
        <x:v>76</x:v>
      </x:c>
      <x:c r="F63" s="112" t="n">
        <x:v>30</x:v>
      </x:c>
      <x:c r="G63" s="112" t="n">
        <x:f>E63+F63</x:f>
        <x:v>106</x:v>
      </x:c>
      <x:c r="H63" s="95" t="str">
        <x:v>talkFirst</x:v>
      </x:c>
      <x:c r="I63" s="95" t="str">
        <x:v>Song</x:v>
      </x:c>
      <x:c r="J63" s="95" t="str">
        <x:v>Good Ole Days</x:v>
      </x:c>
      <x:c r="K63" s="95" t="str">
        <x:v>good-ole-days.mp3</x:v>
      </x:c>
      <x:c r="L63" s="95" t="str">
        <x:v>EXISTING</x:v>
      </x:c>
      <x:c r="M63" s="95" t="str">
        <x:v>30s station edit</x:v>
      </x:c>
      <x:c r="N63" s="137"/>
      <x:c r="O63" s="137"/>
      <x:c r="P63" s="137"/>
      <x:c r="Q63" s="137"/>
      <x:c r="R63" s="137"/>
      <x:c r="S63" s="137"/>
      <x:c r="T63" s="137"/>
    </x:row>
    <x:row r="64" ht="46" customHeight="1">
      <x:c r="A64" s="94" t="str">
        <x:v>H-LUX-03</x:v>
      </x:c>
      <x:c r="B64" s="94" t="str">
        <x:v>17</x:v>
      </x:c>
      <x:c r="C64" s="94" t="str">
        <x:v>Luxury morning</x:v>
      </x:c>
      <x:c r="D64" s="115" t="n">
        <x:v>4</x:v>
      </x:c>
      <x:c r="E64" s="111" t="n">
        <x:f>G63</x:f>
        <x:v>106</x:v>
      </x:c>
      <x:c r="F64" s="111" t="n">
        <x:v>35</x:v>
      </x:c>
      <x:c r="G64" s="111" t="n">
        <x:f>E64+F64</x:f>
        <x:v>141</x:v>
      </x:c>
      <x:c r="H64" s="94" t="str">
        <x:v>talkFirst</x:v>
      </x:c>
      <x:c r="I64" s="94" t="str">
        <x:v>Weather / link</x:v>
      </x:c>
      <x:c r="J64" s="94" t="str">
        <x:v>Morning weather and relationship-safe station link</x:v>
      </x:c>
      <x:c r="K64" s="94" t="str">
        <x:v>New link</x:v>
      </x:c>
      <x:c r="L64" s="94" t="str">
        <x:v>NEW</x:v>
      </x:c>
      <x:c r="M64" s="94" t="str"/>
      <x:c r="N64" s="137"/>
      <x:c r="O64" s="137"/>
      <x:c r="P64" s="137"/>
      <x:c r="Q64" s="137"/>
      <x:c r="R64" s="137"/>
      <x:c r="S64" s="137"/>
      <x:c r="T64" s="137"/>
    </x:row>
    <x:row r="65" ht="46" customHeight="1">
      <x:c r="A65" s="95" t="str">
        <x:v>H-LUX-03</x:v>
      </x:c>
      <x:c r="B65" s="95" t="str">
        <x:v>17</x:v>
      </x:c>
      <x:c r="C65" s="95" t="str">
        <x:v>Luxury morning</x:v>
      </x:c>
      <x:c r="D65" s="116" t="n">
        <x:v>5</x:v>
      </x:c>
      <x:c r="E65" s="112" t="n">
        <x:f>G64</x:f>
        <x:v>141</x:v>
      </x:c>
      <x:c r="F65" s="112" t="n">
        <x:v>80</x:v>
      </x:c>
      <x:c r="G65" s="112" t="n">
        <x:f>E65+F65</x:f>
        <x:v>221</x:v>
      </x:c>
      <x:c r="H65" s="95" t="str">
        <x:v>talkFirst</x:v>
      </x:c>
      <x:c r="I65" s="95" t="str">
        <x:v>Talk</x:v>
      </x:c>
      <x:c r="J65" s="95" t="str">
        <x:v>New quiet-morning block before No Wake setup</x:v>
      </x:c>
      <x:c r="K65" s="95" t="str">
        <x:v>New script + new recording</x:v>
      </x:c>
      <x:c r="L65" s="95" t="str">
        <x:v>NEW</x:v>
      </x:c>
      <x:c r="M65" s="95" t="str">
        <x:v>Visit-specific material; mark heard only after completion</x:v>
      </x:c>
      <x:c r="N65" s="137"/>
      <x:c r="O65" s="137"/>
      <x:c r="P65" s="137"/>
      <x:c r="Q65" s="137"/>
      <x:c r="R65" s="137"/>
      <x:c r="S65" s="137"/>
      <x:c r="T65" s="137"/>
    </x:row>
    <x:row r="66" ht="46" customHeight="1">
      <x:c r="A66" s="94" t="str">
        <x:v>H-LUX-03</x:v>
      </x:c>
      <x:c r="B66" s="94" t="str">
        <x:v>17</x:v>
      </x:c>
      <x:c r="C66" s="94" t="str">
        <x:v>Luxury morning</x:v>
      </x:c>
      <x:c r="D66" s="115" t="n">
        <x:v>6</x:v>
      </x:c>
      <x:c r="E66" s="111" t="n">
        <x:f>G65</x:f>
        <x:v>221</x:v>
      </x:c>
      <x:c r="F66" s="111" t="n">
        <x:v>30</x:v>
      </x:c>
      <x:c r="G66" s="111" t="n">
        <x:f>E66+F66</x:f>
        <x:v>251</x:v>
      </x:c>
      <x:c r="H66" s="94" t="str">
        <x:v>talkFirst</x:v>
      </x:c>
      <x:c r="I66" s="94" t="str">
        <x:v>Song</x:v>
      </x:c>
      <x:c r="J66" s="94" t="str">
        <x:v>Cosmic Drift</x:v>
      </x:c>
      <x:c r="K66" s="94" t="str">
        <x:v>cosmic-drift.mp3</x:v>
      </x:c>
      <x:c r="L66" s="94" t="str">
        <x:v>EXISTING</x:v>
      </x:c>
      <x:c r="M66" s="94" t="str">
        <x:v>30s station edit</x:v>
      </x:c>
      <x:c r="N66" s="137"/>
      <x:c r="O66" s="137"/>
      <x:c r="P66" s="137"/>
      <x:c r="Q66" s="137"/>
      <x:c r="R66" s="137"/>
      <x:c r="S66" s="137"/>
      <x:c r="T66" s="137"/>
    </x:row>
    <x:row r="67" ht="46" customHeight="1">
      <x:c r="A67" s="95" t="str">
        <x:v>H-LUX-03</x:v>
      </x:c>
      <x:c r="B67" s="95" t="str">
        <x:v>17</x:v>
      </x:c>
      <x:c r="C67" s="95" t="str">
        <x:v>Luxury morning</x:v>
      </x:c>
      <x:c r="D67" s="116" t="n">
        <x:v>7</x:v>
      </x:c>
      <x:c r="E67" s="112" t="n">
        <x:f>G66</x:f>
        <x:v>251</x:v>
      </x:c>
      <x:c r="F67" s="112" t="n">
        <x:v>49</x:v>
      </x:c>
      <x:c r="G67" s="112" t="n">
        <x:f>E67+F67</x:f>
        <x:v>300</x:v>
      </x:c>
      <x:c r="H67" s="95" t="str">
        <x:v>talkFirst</x:v>
      </x:c>
      <x:c r="I67" s="95" t="str">
        <x:v>Link / ad</x:v>
      </x:c>
      <x:c r="J67" s="95" t="str">
        <x:v>Short station link, approved ad, and packet handoff</x:v>
      </x:c>
      <x:c r="K67" s="95" t="str">
        <x:v>Existing short cues + new edit</x:v>
      </x:c>
      <x:c r="L67" s="95" t="str">
        <x:v>PARTIAL</x:v>
      </x:c>
      <x:c r="M67" s="95" t="str">
        <x:v>Total packet target = 300s; then resume generic rotation</x:v>
      </x:c>
      <x:c r="N67" s="137"/>
      <x:c r="O67" s="137"/>
      <x:c r="P67" s="137"/>
      <x:c r="Q67" s="137"/>
      <x:c r="R67" s="137"/>
      <x:c r="S67" s="137"/>
      <x:c r="T67" s="137"/>
    </x:row>
    <x:row r="68" ht="46" customHeight="1">
      <x:c r="A68" s="94" t="str">
        <x:v>H-LUX-04</x:v>
      </x:c>
      <x:c r="B68" s="94" t="str">
        <x:v>19</x:v>
      </x:c>
      <x:c r="C68" s="94" t="str">
        <x:v>Luxury return from No Wake</x:v>
      </x:c>
      <x:c r="D68" s="115" t="n">
        <x:v>1</x:v>
      </x:c>
      <x:c r="E68" s="111" t="n">
        <x:v>0</x:v>
      </x:c>
      <x:c r="F68" s="111" t="n">
        <x:v>4</x:v>
      </x:c>
      <x:c r="G68" s="111" t="n">
        <x:f>E68+F68</x:f>
        <x:v>4</x:v>
      </x:c>
      <x:c r="H68" s="94" t="str">
        <x:v>talkFirst</x:v>
      </x:c>
      <x:c r="I68" s="94" t="str">
        <x:v>Ident</x:v>
      </x:c>
      <x:c r="J68" s="94" t="str">
        <x:v>97.8 THE SQUATCH ident</x:v>
      </x:c>
      <x:c r="K68" s="94" t="str">
        <x:v>radio.ident.squatch</x:v>
      </x:c>
      <x:c r="L68" s="94" t="str">
        <x:v>EXISTING</x:v>
      </x:c>
      <x:c r="M68" s="94" t="str">
        <x:v>Run before show intro; no overlap</x:v>
      </x:c>
      <x:c r="N68" s="137"/>
      <x:c r="O68" s="137"/>
      <x:c r="P68" s="137"/>
      <x:c r="Q68" s="137"/>
      <x:c r="R68" s="137"/>
      <x:c r="S68" s="137"/>
      <x:c r="T68" s="137"/>
    </x:row>
    <x:row r="69" ht="46" customHeight="1">
      <x:c r="A69" s="95" t="str">
        <x:v>H-LUX-04</x:v>
      </x:c>
      <x:c r="B69" s="95" t="str">
        <x:v>19</x:v>
      </x:c>
      <x:c r="C69" s="95" t="str">
        <x:v>Luxury return from No Wake</x:v>
      </x:c>
      <x:c r="D69" s="116" t="n">
        <x:v>2</x:v>
      </x:c>
      <x:c r="E69" s="112" t="n">
        <x:f>G68</x:f>
        <x:v>4</x:v>
      </x:c>
      <x:c r="F69" s="112" t="n">
        <x:v>72</x:v>
      </x:c>
      <x:c r="G69" s="112" t="n">
        <x:f>E69+F69</x:f>
        <x:v>76</x:v>
      </x:c>
      <x:c r="H69" s="95" t="str">
        <x:v>talkFirst</x:v>
      </x:c>
      <x:c r="I69" s="95" t="str">
        <x:v>Talk</x:v>
      </x:c>
      <x:c r="J69" s="95" t="str">
        <x:v>New early-evening decompression block</x:v>
      </x:c>
      <x:c r="K69" s="95" t="str">
        <x:v>New script + new recording</x:v>
      </x:c>
      <x:c r="L69" s="95" t="str">
        <x:v>NEW</x:v>
      </x:c>
      <x:c r="M69" s="95" t="str"/>
      <x:c r="N69" s="137"/>
      <x:c r="O69" s="137"/>
      <x:c r="P69" s="137"/>
      <x:c r="Q69" s="137"/>
      <x:c r="R69" s="137"/>
      <x:c r="S69" s="137"/>
      <x:c r="T69" s="137"/>
    </x:row>
    <x:row r="70" ht="46" customHeight="1">
      <x:c r="A70" s="94" t="str">
        <x:v>H-LUX-04</x:v>
      </x:c>
      <x:c r="B70" s="94" t="str">
        <x:v>19</x:v>
      </x:c>
      <x:c r="C70" s="94" t="str">
        <x:v>Luxury return from No Wake</x:v>
      </x:c>
      <x:c r="D70" s="115" t="n">
        <x:v>3</x:v>
      </x:c>
      <x:c r="E70" s="111" t="n">
        <x:f>G69</x:f>
        <x:v>76</x:v>
      </x:c>
      <x:c r="F70" s="111" t="n">
        <x:v>30</x:v>
      </x:c>
      <x:c r="G70" s="111" t="n">
        <x:f>E70+F70</x:f>
        <x:v>106</x:v>
      </x:c>
      <x:c r="H70" s="94" t="str">
        <x:v>talkFirst</x:v>
      </x:c>
      <x:c r="I70" s="94" t="str">
        <x:v>Song</x:v>
      </x:c>
      <x:c r="J70" s="94" t="str">
        <x:v>Good Ole Days</x:v>
      </x:c>
      <x:c r="K70" s="94" t="str">
        <x:v>good-ole-days.mp3</x:v>
      </x:c>
      <x:c r="L70" s="94" t="str">
        <x:v>EXISTING</x:v>
      </x:c>
      <x:c r="M70" s="94" t="str">
        <x:v>30s station edit</x:v>
      </x:c>
      <x:c r="N70" s="137"/>
      <x:c r="O70" s="137"/>
      <x:c r="P70" s="137"/>
      <x:c r="Q70" s="137"/>
      <x:c r="R70" s="137"/>
      <x:c r="S70" s="137"/>
      <x:c r="T70" s="137"/>
    </x:row>
    <x:row r="71" ht="46" customHeight="1">
      <x:c r="A71" s="95" t="str">
        <x:v>H-LUX-04</x:v>
      </x:c>
      <x:c r="B71" s="95" t="str">
        <x:v>19</x:v>
      </x:c>
      <x:c r="C71" s="95" t="str">
        <x:v>Luxury return from No Wake</x:v>
      </x:c>
      <x:c r="D71" s="116" t="n">
        <x:v>4</x:v>
      </x:c>
      <x:c r="E71" s="112" t="n">
        <x:f>G70</x:f>
        <x:v>106</x:v>
      </x:c>
      <x:c r="F71" s="112" t="n">
        <x:v>35</x:v>
      </x:c>
      <x:c r="G71" s="112" t="n">
        <x:f>E71+F71</x:f>
        <x:v>141</x:v>
      </x:c>
      <x:c r="H71" s="95" t="str">
        <x:v>talkFirst</x:v>
      </x:c>
      <x:c r="I71" s="95" t="str">
        <x:v>News</x:v>
      </x:c>
      <x:c r="J71" s="95" t="str">
        <x:v>Lake campaign bulletin</x:v>
      </x:c>
      <x:c r="K71" s="95" t="str">
        <x:v>news.segment.lake</x:v>
      </x:c>
      <x:c r="L71" s="95" t="str">
        <x:v>EXISTING</x:v>
      </x:c>
      <x:c r="M71" s="95" t="str"/>
      <x:c r="N71" s="137"/>
      <x:c r="O71" s="137"/>
      <x:c r="P71" s="137"/>
      <x:c r="Q71" s="137"/>
      <x:c r="R71" s="137"/>
      <x:c r="S71" s="137"/>
      <x:c r="T71" s="137"/>
    </x:row>
    <x:row r="72" ht="46" customHeight="1">
      <x:c r="A72" s="94" t="str">
        <x:v>H-LUX-04</x:v>
      </x:c>
      <x:c r="B72" s="94" t="str">
        <x:v>19</x:v>
      </x:c>
      <x:c r="C72" s="94" t="str">
        <x:v>Luxury return from No Wake</x:v>
      </x:c>
      <x:c r="D72" s="115" t="n">
        <x:v>5</x:v>
      </x:c>
      <x:c r="E72" s="111" t="n">
        <x:f>G71</x:f>
        <x:v>141</x:v>
      </x:c>
      <x:c r="F72" s="111" t="n">
        <x:v>80</x:v>
      </x:c>
      <x:c r="G72" s="111" t="n">
        <x:f>E72+F72</x:f>
        <x:v>221</x:v>
      </x:c>
      <x:c r="H72" s="94" t="str">
        <x:v>talkFirst</x:v>
      </x:c>
      <x:c r="I72" s="94" t="str">
        <x:v>Talk</x:v>
      </x:c>
      <x:c r="J72" s="94" t="str">
        <x:v>New host follow-up that acknowledges the public story, not the secret</x:v>
      </x:c>
      <x:c r="K72" s="94" t="str">
        <x:v>New script + new recording</x:v>
      </x:c>
      <x:c r="L72" s="94" t="str">
        <x:v>NEW</x:v>
      </x:c>
      <x:c r="M72" s="94" t="str">
        <x:v>Visit-specific material; mark heard only after completion</x:v>
      </x:c>
      <x:c r="N72" s="137"/>
      <x:c r="O72" s="137"/>
      <x:c r="P72" s="137"/>
      <x:c r="Q72" s="137"/>
      <x:c r="R72" s="137"/>
      <x:c r="S72" s="137"/>
      <x:c r="T72" s="137"/>
    </x:row>
    <x:row r="73" ht="46" customHeight="1">
      <x:c r="A73" s="95" t="str">
        <x:v>H-LUX-04</x:v>
      </x:c>
      <x:c r="B73" s="95" t="str">
        <x:v>19</x:v>
      </x:c>
      <x:c r="C73" s="95" t="str">
        <x:v>Luxury return from No Wake</x:v>
      </x:c>
      <x:c r="D73" s="116" t="n">
        <x:v>6</x:v>
      </x:c>
      <x:c r="E73" s="112" t="n">
        <x:f>G72</x:f>
        <x:v>221</x:v>
      </x:c>
      <x:c r="F73" s="112" t="n">
        <x:v>30</x:v>
      </x:c>
      <x:c r="G73" s="112" t="n">
        <x:f>E73+F73</x:f>
        <x:v>251</x:v>
      </x:c>
      <x:c r="H73" s="95" t="str">
        <x:v>talkFirst</x:v>
      </x:c>
      <x:c r="I73" s="95" t="str">
        <x:v>Song</x:v>
      </x:c>
      <x:c r="J73" s="95" t="str">
        <x:v>Through the Night</x:v>
      </x:c>
      <x:c r="K73" s="95" t="str">
        <x:v>through-the-night.mp3</x:v>
      </x:c>
      <x:c r="L73" s="95" t="str">
        <x:v>EXISTING</x:v>
      </x:c>
      <x:c r="M73" s="95" t="str">
        <x:v>30s station edit</x:v>
      </x:c>
      <x:c r="N73" s="137"/>
      <x:c r="O73" s="137"/>
      <x:c r="P73" s="137"/>
      <x:c r="Q73" s="137"/>
      <x:c r="R73" s="137"/>
      <x:c r="S73" s="137"/>
      <x:c r="T73" s="137"/>
    </x:row>
    <x:row r="74" ht="46" customHeight="1">
      <x:c r="A74" s="94" t="str">
        <x:v>H-LUX-04</x:v>
      </x:c>
      <x:c r="B74" s="94" t="str">
        <x:v>19</x:v>
      </x:c>
      <x:c r="C74" s="94" t="str">
        <x:v>Luxury return from No Wake</x:v>
      </x:c>
      <x:c r="D74" s="115" t="n">
        <x:v>7</x:v>
      </x:c>
      <x:c r="E74" s="111" t="n">
        <x:f>G73</x:f>
        <x:v>251</x:v>
      </x:c>
      <x:c r="F74" s="111" t="n">
        <x:v>49</x:v>
      </x:c>
      <x:c r="G74" s="111" t="n">
        <x:f>E74+F74</x:f>
        <x:v>300</x:v>
      </x:c>
      <x:c r="H74" s="94" t="str">
        <x:v>talkFirst</x:v>
      </x:c>
      <x:c r="I74" s="94" t="str">
        <x:v>Link / ad</x:v>
      </x:c>
      <x:c r="J74" s="94" t="str">
        <x:v>Short station link, approved ad, and packet handoff</x:v>
      </x:c>
      <x:c r="K74" s="94" t="str">
        <x:v>Existing short cues + new edit</x:v>
      </x:c>
      <x:c r="L74" s="94" t="str">
        <x:v>PARTIAL</x:v>
      </x:c>
      <x:c r="M74" s="94" t="str">
        <x:v>Total packet target = 300s; then resume generic rotation</x:v>
      </x:c>
      <x:c r="N74" s="137"/>
      <x:c r="O74" s="137"/>
      <x:c r="P74" s="137"/>
      <x:c r="Q74" s="137"/>
      <x:c r="R74" s="137"/>
      <x:c r="S74" s="137"/>
      <x:c r="T74" s="137"/>
    </x:row>
    <x:row r="75" ht="46" customHeight="1">
      <x:c r="A75" s="95" t="str">
        <x:v>H-MAN-01</x:v>
      </x:c>
      <x:c r="B75" s="95" t="str">
        <x:v>21–22</x:v>
      </x:c>
      <x:c r="C75" s="95" t="str">
        <x:v>Mansion first visit</x:v>
      </x:c>
      <x:c r="D75" s="116" t="n">
        <x:v>1</x:v>
      </x:c>
      <x:c r="E75" s="112" t="n">
        <x:v>0</x:v>
      </x:c>
      <x:c r="F75" s="112" t="n">
        <x:v>4</x:v>
      </x:c>
      <x:c r="G75" s="112" t="n">
        <x:f>E75+F75</x:f>
        <x:v>4</x:v>
      </x:c>
      <x:c r="H75" s="95" t="str">
        <x:v>talkFirst</x:v>
      </x:c>
      <x:c r="I75" s="95" t="str">
        <x:v>Ident</x:v>
      </x:c>
      <x:c r="J75" s="95" t="str">
        <x:v>97.8 THE SQUATCH ident</x:v>
      </x:c>
      <x:c r="K75" s="95" t="str">
        <x:v>radio.ident.squatch</x:v>
      </x:c>
      <x:c r="L75" s="95" t="str">
        <x:v>EXISTING</x:v>
      </x:c>
      <x:c r="M75" s="95" t="str">
        <x:v>Run before show intro; no overlap</x:v>
      </x:c>
      <x:c r="N75" s="137"/>
      <x:c r="O75" s="137"/>
      <x:c r="P75" s="137"/>
      <x:c r="Q75" s="137"/>
      <x:c r="R75" s="137"/>
      <x:c r="S75" s="137"/>
      <x:c r="T75" s="137"/>
    </x:row>
    <x:row r="76" ht="46" customHeight="1">
      <x:c r="A76" s="94" t="str">
        <x:v>H-MAN-01</x:v>
      </x:c>
      <x:c r="B76" s="94" t="str">
        <x:v>21–22</x:v>
      </x:c>
      <x:c r="C76" s="94" t="str">
        <x:v>Mansion first visit</x:v>
      </x:c>
      <x:c r="D76" s="115" t="n">
        <x:v>2</x:v>
      </x:c>
      <x:c r="E76" s="111" t="n">
        <x:f>G75</x:f>
        <x:v>4</x:v>
      </x:c>
      <x:c r="F76" s="111" t="n">
        <x:v>72</x:v>
      </x:c>
      <x:c r="G76" s="111" t="n">
        <x:f>E76+F76</x:f>
        <x:v>76</x:v>
      </x:c>
      <x:c r="H76" s="94" t="str">
        <x:v>talkFirst</x:v>
      </x:c>
      <x:c r="I76" s="94" t="str">
        <x:v>Talk</x:v>
      </x:c>
      <x:c r="J76" s="94" t="str">
        <x:v>New Evening Desk estate/wealth episode</x:v>
      </x:c>
      <x:c r="K76" s="94" t="str">
        <x:v>New script + new recording</x:v>
      </x:c>
      <x:c r="L76" s="94" t="str">
        <x:v>NEW</x:v>
      </x:c>
      <x:c r="M76" s="94" t="str"/>
      <x:c r="N76" s="137"/>
      <x:c r="O76" s="137"/>
      <x:c r="P76" s="137"/>
      <x:c r="Q76" s="137"/>
      <x:c r="R76" s="137"/>
      <x:c r="S76" s="137"/>
      <x:c r="T76" s="137"/>
    </x:row>
    <x:row r="77" ht="46" customHeight="1">
      <x:c r="A77" s="95" t="str">
        <x:v>H-MAN-01</x:v>
      </x:c>
      <x:c r="B77" s="95" t="str">
        <x:v>21–22</x:v>
      </x:c>
      <x:c r="C77" s="95" t="str">
        <x:v>Mansion first visit</x:v>
      </x:c>
      <x:c r="D77" s="116" t="n">
        <x:v>3</x:v>
      </x:c>
      <x:c r="E77" s="112" t="n">
        <x:f>G76</x:f>
        <x:v>76</x:v>
      </x:c>
      <x:c r="F77" s="112" t="n">
        <x:v>30</x:v>
      </x:c>
      <x:c r="G77" s="112" t="n">
        <x:f>E77+F77</x:f>
        <x:v>106</x:v>
      </x:c>
      <x:c r="H77" s="95" t="str">
        <x:v>talkFirst</x:v>
      </x:c>
      <x:c r="I77" s="95" t="str">
        <x:v>Song</x:v>
      </x:c>
      <x:c r="J77" s="95" t="str">
        <x:v>Daydream Diner 2</x:v>
      </x:c>
      <x:c r="K77" s="95" t="str">
        <x:v>daydream-diner-2.mp3</x:v>
      </x:c>
      <x:c r="L77" s="95" t="str">
        <x:v>EXISTING</x:v>
      </x:c>
      <x:c r="M77" s="95" t="str">
        <x:v>30s station edit</x:v>
      </x:c>
      <x:c r="N77" s="137"/>
      <x:c r="O77" s="137"/>
      <x:c r="P77" s="137"/>
      <x:c r="Q77" s="137"/>
      <x:c r="R77" s="137"/>
      <x:c r="S77" s="137"/>
      <x:c r="T77" s="137"/>
    </x:row>
    <x:row r="78" ht="46" customHeight="1">
      <x:c r="A78" s="94" t="str">
        <x:v>H-MAN-01</x:v>
      </x:c>
      <x:c r="B78" s="94" t="str">
        <x:v>21–22</x:v>
      </x:c>
      <x:c r="C78" s="94" t="str">
        <x:v>Mansion first visit</x:v>
      </x:c>
      <x:c r="D78" s="115" t="n">
        <x:v>4</x:v>
      </x:c>
      <x:c r="E78" s="111" t="n">
        <x:f>G77</x:f>
        <x:v>106</x:v>
      </x:c>
      <x:c r="F78" s="111" t="n">
        <x:v>35</x:v>
      </x:c>
      <x:c r="G78" s="111" t="n">
        <x:f>E78+F78</x:f>
        <x:v>141</x:v>
      </x:c>
      <x:c r="H78" s="94" t="str">
        <x:v>talkFirst</x:v>
      </x:c>
      <x:c r="I78" s="94" t="str">
        <x:v>Link / ad</x:v>
      </x:c>
      <x:c r="J78" s="94" t="str">
        <x:v>Mansion-local station link and premium-target ad</x:v>
      </x:c>
      <x:c r="K78" s="94" t="str">
        <x:v>New edit</x:v>
      </x:c>
      <x:c r="L78" s="94" t="str">
        <x:v>NEW</x:v>
      </x:c>
      <x:c r="M78" s="94" t="str"/>
      <x:c r="N78" s="137"/>
      <x:c r="O78" s="137"/>
      <x:c r="P78" s="137"/>
      <x:c r="Q78" s="137"/>
      <x:c r="R78" s="137"/>
      <x:c r="S78" s="137"/>
      <x:c r="T78" s="137"/>
    </x:row>
    <x:row r="79" ht="46" customHeight="1">
      <x:c r="A79" s="95" t="str">
        <x:v>H-MAN-01</x:v>
      </x:c>
      <x:c r="B79" s="95" t="str">
        <x:v>21–22</x:v>
      </x:c>
      <x:c r="C79" s="95" t="str">
        <x:v>Mansion first visit</x:v>
      </x:c>
      <x:c r="D79" s="116" t="n">
        <x:v>5</x:v>
      </x:c>
      <x:c r="E79" s="112" t="n">
        <x:f>G78</x:f>
        <x:v>141</x:v>
      </x:c>
      <x:c r="F79" s="112" t="n">
        <x:v>80</x:v>
      </x:c>
      <x:c r="G79" s="112" t="n">
        <x:f>E79+F79</x:f>
        <x:v>221</x:v>
      </x:c>
      <x:c r="H79" s="95" t="str">
        <x:v>talkFirst</x:v>
      </x:c>
      <x:c r="I79" s="95" t="str">
        <x:v>Talk</x:v>
      </x:c>
      <x:c r="J79" s="95" t="str">
        <x:v>New house episode that does not spoil the laboratory</x:v>
      </x:c>
      <x:c r="K79" s="95" t="str">
        <x:v>New script + new recording</x:v>
      </x:c>
      <x:c r="L79" s="95" t="str">
        <x:v>NEW</x:v>
      </x:c>
      <x:c r="M79" s="95" t="str">
        <x:v>Visit-specific material; mark heard only after completion</x:v>
      </x:c>
      <x:c r="N79" s="137"/>
      <x:c r="O79" s="137"/>
      <x:c r="P79" s="137"/>
      <x:c r="Q79" s="137"/>
      <x:c r="R79" s="137"/>
      <x:c r="S79" s="137"/>
      <x:c r="T79" s="137"/>
    </x:row>
    <x:row r="80" ht="46" customHeight="1">
      <x:c r="A80" s="94" t="str">
        <x:v>H-MAN-01</x:v>
      </x:c>
      <x:c r="B80" s="94" t="str">
        <x:v>21–22</x:v>
      </x:c>
      <x:c r="C80" s="94" t="str">
        <x:v>Mansion first visit</x:v>
      </x:c>
      <x:c r="D80" s="115" t="n">
        <x:v>6</x:v>
      </x:c>
      <x:c r="E80" s="111" t="n">
        <x:f>G79</x:f>
        <x:v>221</x:v>
      </x:c>
      <x:c r="F80" s="111" t="n">
        <x:v>30</x:v>
      </x:c>
      <x:c r="G80" s="111" t="n">
        <x:f>E80+F80</x:f>
        <x:v>251</x:v>
      </x:c>
      <x:c r="H80" s="94" t="str">
        <x:v>talkFirst</x:v>
      </x:c>
      <x:c r="I80" s="94" t="str">
        <x:v>Song</x:v>
      </x:c>
      <x:c r="J80" s="94" t="str">
        <x:v>Good Ole Days</x:v>
      </x:c>
      <x:c r="K80" s="94" t="str">
        <x:v>good-ole-days.mp3</x:v>
      </x:c>
      <x:c r="L80" s="94" t="str">
        <x:v>EXISTING</x:v>
      </x:c>
      <x:c r="M80" s="94" t="str">
        <x:v>30s station edit</x:v>
      </x:c>
      <x:c r="N80" s="137"/>
      <x:c r="O80" s="137"/>
      <x:c r="P80" s="137"/>
      <x:c r="Q80" s="137"/>
      <x:c r="R80" s="137"/>
      <x:c r="S80" s="137"/>
      <x:c r="T80" s="137"/>
    </x:row>
    <x:row r="81" ht="46" customHeight="1">
      <x:c r="A81" s="95" t="str">
        <x:v>H-MAN-01</x:v>
      </x:c>
      <x:c r="B81" s="95" t="str">
        <x:v>21–22</x:v>
      </x:c>
      <x:c r="C81" s="95" t="str">
        <x:v>Mansion first visit</x:v>
      </x:c>
      <x:c r="D81" s="116" t="n">
        <x:v>7</x:v>
      </x:c>
      <x:c r="E81" s="112" t="n">
        <x:f>G80</x:f>
        <x:v>251</x:v>
      </x:c>
      <x:c r="F81" s="112" t="n">
        <x:v>49</x:v>
      </x:c>
      <x:c r="G81" s="112" t="n">
        <x:f>E81+F81</x:f>
        <x:v>300</x:v>
      </x:c>
      <x:c r="H81" s="95" t="str">
        <x:v>talkFirst</x:v>
      </x:c>
      <x:c r="I81" s="95" t="str">
        <x:v>Link / ad</x:v>
      </x:c>
      <x:c r="J81" s="95" t="str">
        <x:v>Short station link, approved ad, and packet handoff</x:v>
      </x:c>
      <x:c r="K81" s="95" t="str">
        <x:v>Existing short cues + new edit</x:v>
      </x:c>
      <x:c r="L81" s="95" t="str">
        <x:v>PARTIAL</x:v>
      </x:c>
      <x:c r="M81" s="95" t="str">
        <x:v>Total packet target = 300s; then resume generic rotation</x:v>
      </x:c>
      <x:c r="N81" s="137"/>
      <x:c r="O81" s="137"/>
      <x:c r="P81" s="137"/>
      <x:c r="Q81" s="137"/>
      <x:c r="R81" s="137"/>
      <x:c r="S81" s="137"/>
      <x:c r="T81" s="137"/>
    </x:row>
    <x:row r="82" ht="46" customHeight="1">
      <x:c r="A82" s="94" t="str">
        <x:v>H-MAN-02</x:v>
      </x:c>
      <x:c r="B82" s="94" t="str">
        <x:v>25</x:v>
      </x:c>
      <x:c r="C82" s="94" t="str">
        <x:v>Repaired Mansion</x:v>
      </x:c>
      <x:c r="D82" s="115" t="n">
        <x:v>1</x:v>
      </x:c>
      <x:c r="E82" s="111" t="n">
        <x:v>0</x:v>
      </x:c>
      <x:c r="F82" s="111" t="n">
        <x:v>4</x:v>
      </x:c>
      <x:c r="G82" s="111" t="n">
        <x:f>E82+F82</x:f>
        <x:v>4</x:v>
      </x:c>
      <x:c r="H82" s="94" t="str">
        <x:v>talkFirst</x:v>
      </x:c>
      <x:c r="I82" s="94" t="str">
        <x:v>Ident</x:v>
      </x:c>
      <x:c r="J82" s="94" t="str">
        <x:v>97.8 THE SQUATCH ident</x:v>
      </x:c>
      <x:c r="K82" s="94" t="str">
        <x:v>radio.ident.squatch</x:v>
      </x:c>
      <x:c r="L82" s="94" t="str">
        <x:v>EXISTING</x:v>
      </x:c>
      <x:c r="M82" s="94" t="str">
        <x:v>Run before show intro; no overlap</x:v>
      </x:c>
      <x:c r="N82" s="137"/>
      <x:c r="O82" s="137"/>
      <x:c r="P82" s="137"/>
      <x:c r="Q82" s="137"/>
      <x:c r="R82" s="137"/>
      <x:c r="S82" s="137"/>
      <x:c r="T82" s="137"/>
    </x:row>
    <x:row r="83" ht="46" customHeight="1">
      <x:c r="A83" s="95" t="str">
        <x:v>H-MAN-02</x:v>
      </x:c>
      <x:c r="B83" s="95" t="str">
        <x:v>25</x:v>
      </x:c>
      <x:c r="C83" s="95" t="str">
        <x:v>Repaired Mansion</x:v>
      </x:c>
      <x:c r="D83" s="116" t="n">
        <x:v>2</x:v>
      </x:c>
      <x:c r="E83" s="112" t="n">
        <x:f>G82</x:f>
        <x:v>4</x:v>
      </x:c>
      <x:c r="F83" s="112" t="n">
        <x:v>72</x:v>
      </x:c>
      <x:c r="G83" s="112" t="n">
        <x:f>E83+F83</x:f>
        <x:v>76</x:v>
      </x:c>
      <x:c r="H83" s="95" t="str">
        <x:v>talkFirst</x:v>
      </x:c>
      <x:c r="I83" s="95" t="str">
        <x:v>Talk</x:v>
      </x:c>
      <x:c r="J83" s="95" t="str">
        <x:v>New India-show return episode keyed to the 18:30 clock</x:v>
      </x:c>
      <x:c r="K83" s="95" t="str">
        <x:v>New script + new recording</x:v>
      </x:c>
      <x:c r="L83" s="95" t="str">
        <x:v>NEW</x:v>
      </x:c>
      <x:c r="M83" s="95" t="str"/>
      <x:c r="N83" s="137"/>
      <x:c r="O83" s="137"/>
      <x:c r="P83" s="137"/>
      <x:c r="Q83" s="137"/>
      <x:c r="R83" s="137"/>
      <x:c r="S83" s="137"/>
      <x:c r="T83" s="137"/>
    </x:row>
    <x:row r="84" ht="46" customHeight="1">
      <x:c r="A84" s="94" t="str">
        <x:v>H-MAN-02</x:v>
      </x:c>
      <x:c r="B84" s="94" t="str">
        <x:v>25</x:v>
      </x:c>
      <x:c r="C84" s="94" t="str">
        <x:v>Repaired Mansion</x:v>
      </x:c>
      <x:c r="D84" s="115" t="n">
        <x:v>3</x:v>
      </x:c>
      <x:c r="E84" s="111" t="n">
        <x:f>G83</x:f>
        <x:v>76</x:v>
      </x:c>
      <x:c r="F84" s="111" t="n">
        <x:v>30</x:v>
      </x:c>
      <x:c r="G84" s="111" t="n">
        <x:f>E84+F84</x:f>
        <x:v>106</x:v>
      </x:c>
      <x:c r="H84" s="94" t="str">
        <x:v>talkFirst</x:v>
      </x:c>
      <x:c r="I84" s="94" t="str">
        <x:v>Song</x:v>
      </x:c>
      <x:c r="J84" s="94" t="str">
        <x:v>Daydream Diner 2</x:v>
      </x:c>
      <x:c r="K84" s="94" t="str">
        <x:v>daydream-diner-2.mp3</x:v>
      </x:c>
      <x:c r="L84" s="94" t="str">
        <x:v>EXISTING</x:v>
      </x:c>
      <x:c r="M84" s="94" t="str">
        <x:v>30s station edit</x:v>
      </x:c>
      <x:c r="N84" s="137"/>
      <x:c r="O84" s="137"/>
      <x:c r="P84" s="137"/>
      <x:c r="Q84" s="137"/>
      <x:c r="R84" s="137"/>
      <x:c r="S84" s="137"/>
      <x:c r="T84" s="137"/>
    </x:row>
    <x:row r="85" ht="46" customHeight="1">
      <x:c r="A85" s="95" t="str">
        <x:v>H-MAN-02</x:v>
      </x:c>
      <x:c r="B85" s="95" t="str">
        <x:v>25</x:v>
      </x:c>
      <x:c r="C85" s="95" t="str">
        <x:v>Repaired Mansion</x:v>
      </x:c>
      <x:c r="D85" s="116" t="n">
        <x:v>4</x:v>
      </x:c>
      <x:c r="E85" s="112" t="n">
        <x:f>G84</x:f>
        <x:v>106</x:v>
      </x:c>
      <x:c r="F85" s="112" t="n">
        <x:v>35</x:v>
      </x:c>
      <x:c r="G85" s="112" t="n">
        <x:f>E85+F85</x:f>
        <x:v>141</x:v>
      </x:c>
      <x:c r="H85" s="95" t="str">
        <x:v>talkFirst</x:v>
      </x:c>
      <x:c r="I85" s="95" t="str">
        <x:v>News</x:v>
      </x:c>
      <x:c r="J85" s="95" t="str">
        <x:v>Detonation campaign bulletin</x:v>
      </x:c>
      <x:c r="K85" s="95" t="str">
        <x:v>news.segment.detonation</x:v>
      </x:c>
      <x:c r="L85" s="95" t="str">
        <x:v>EXISTING</x:v>
      </x:c>
      <x:c r="M85" s="95" t="str"/>
      <x:c r="N85" s="137"/>
      <x:c r="O85" s="137"/>
      <x:c r="P85" s="137"/>
      <x:c r="Q85" s="137"/>
      <x:c r="R85" s="137"/>
      <x:c r="S85" s="137"/>
      <x:c r="T85" s="137"/>
    </x:row>
    <x:row r="86" ht="46" customHeight="1">
      <x:c r="A86" s="94" t="str">
        <x:v>H-MAN-02</x:v>
      </x:c>
      <x:c r="B86" s="94" t="str">
        <x:v>25</x:v>
      </x:c>
      <x:c r="C86" s="94" t="str">
        <x:v>Repaired Mansion</x:v>
      </x:c>
      <x:c r="D86" s="115" t="n">
        <x:v>5</x:v>
      </x:c>
      <x:c r="E86" s="111" t="n">
        <x:f>G85</x:f>
        <x:v>141</x:v>
      </x:c>
      <x:c r="F86" s="111" t="n">
        <x:v>80</x:v>
      </x:c>
      <x:c r="G86" s="111" t="n">
        <x:f>E86+F86</x:f>
        <x:v>221</x:v>
      </x:c>
      <x:c r="H86" s="94" t="str">
        <x:v>talkFirst</x:v>
      </x:c>
      <x:c r="I86" s="94" t="str">
        <x:v>Talk</x:v>
      </x:c>
      <x:c r="J86" s="94" t="str">
        <x:v>New repaired-house block that lets public radio be wrong about the war</x:v>
      </x:c>
      <x:c r="K86" s="94" t="str">
        <x:v>New script + new recording</x:v>
      </x:c>
      <x:c r="L86" s="94" t="str">
        <x:v>NEW</x:v>
      </x:c>
      <x:c r="M86" s="94" t="str">
        <x:v>Visit-specific material; mark heard only after completion</x:v>
      </x:c>
      <x:c r="N86" s="137"/>
      <x:c r="O86" s="137"/>
      <x:c r="P86" s="137"/>
      <x:c r="Q86" s="137"/>
      <x:c r="R86" s="137"/>
      <x:c r="S86" s="137"/>
      <x:c r="T86" s="137"/>
    </x:row>
    <x:row r="87" ht="46" customHeight="1">
      <x:c r="A87" s="95" t="str">
        <x:v>H-MAN-02</x:v>
      </x:c>
      <x:c r="B87" s="95" t="str">
        <x:v>25</x:v>
      </x:c>
      <x:c r="C87" s="95" t="str">
        <x:v>Repaired Mansion</x:v>
      </x:c>
      <x:c r="D87" s="116" t="n">
        <x:v>6</x:v>
      </x:c>
      <x:c r="E87" s="112" t="n">
        <x:f>G86</x:f>
        <x:v>221</x:v>
      </x:c>
      <x:c r="F87" s="112" t="n">
        <x:v>30</x:v>
      </x:c>
      <x:c r="G87" s="112" t="n">
        <x:f>E87+F87</x:f>
        <x:v>251</x:v>
      </x:c>
      <x:c r="H87" s="95" t="str">
        <x:v>talkFirst</x:v>
      </x:c>
      <x:c r="I87" s="95" t="str">
        <x:v>Song</x:v>
      </x:c>
      <x:c r="J87" s="95" t="str">
        <x:v>Through the Night</x:v>
      </x:c>
      <x:c r="K87" s="95" t="str">
        <x:v>through-the-night.mp3</x:v>
      </x:c>
      <x:c r="L87" s="95" t="str">
        <x:v>EXISTING</x:v>
      </x:c>
      <x:c r="M87" s="95" t="str">
        <x:v>30s station edit</x:v>
      </x:c>
      <x:c r="N87" s="137"/>
      <x:c r="O87" s="137"/>
      <x:c r="P87" s="137"/>
      <x:c r="Q87" s="137"/>
      <x:c r="R87" s="137"/>
      <x:c r="S87" s="137"/>
      <x:c r="T87" s="137"/>
    </x:row>
    <x:row r="88" ht="46" customHeight="1">
      <x:c r="A88" s="94" t="str">
        <x:v>H-MAN-02</x:v>
      </x:c>
      <x:c r="B88" s="94" t="str">
        <x:v>25</x:v>
      </x:c>
      <x:c r="C88" s="94" t="str">
        <x:v>Repaired Mansion</x:v>
      </x:c>
      <x:c r="D88" s="115" t="n">
        <x:v>7</x:v>
      </x:c>
      <x:c r="E88" s="111" t="n">
        <x:f>G87</x:f>
        <x:v>251</x:v>
      </x:c>
      <x:c r="F88" s="111" t="n">
        <x:v>49</x:v>
      </x:c>
      <x:c r="G88" s="111" t="n">
        <x:f>E88+F88</x:f>
        <x:v>300</x:v>
      </x:c>
      <x:c r="H88" s="94" t="str">
        <x:v>talkFirst</x:v>
      </x:c>
      <x:c r="I88" s="94" t="str">
        <x:v>Link / ad</x:v>
      </x:c>
      <x:c r="J88" s="94" t="str">
        <x:v>Short station link, approved ad, and packet handoff</x:v>
      </x:c>
      <x:c r="K88" s="94" t="str">
        <x:v>Existing short cues + new edit</x:v>
      </x:c>
      <x:c r="L88" s="94" t="str">
        <x:v>PARTIAL</x:v>
      </x:c>
      <x:c r="M88" s="94" t="str">
        <x:v>Total packet target = 300s; then resume generic rotation</x:v>
      </x:c>
      <x:c r="N88" s="137"/>
      <x:c r="O88" s="137"/>
      <x:c r="P88" s="137"/>
      <x:c r="Q88" s="137"/>
      <x:c r="R88" s="137"/>
      <x:c r="S88" s="137"/>
      <x:c r="T88" s="137"/>
    </x:row>
    <x:row r="89" ht="46" customHeight="1">
      <x:c r="A89" s="95" t="str">
        <x:v>H-LUX-05</x:v>
      </x:c>
      <x:c r="B89" s="95" t="str">
        <x:v>27</x:v>
      </x:c>
      <x:c r="C89" s="95" t="str">
        <x:v>Luxury pre-meeting</x:v>
      </x:c>
      <x:c r="D89" s="116" t="n">
        <x:v>1</x:v>
      </x:c>
      <x:c r="E89" s="112" t="n">
        <x:v>0</x:v>
      </x:c>
      <x:c r="F89" s="112" t="n">
        <x:v>4</x:v>
      </x:c>
      <x:c r="G89" s="112" t="n">
        <x:f>E89+F89</x:f>
        <x:v>4</x:v>
      </x:c>
      <x:c r="H89" s="95" t="str">
        <x:v>talkFirst</x:v>
      </x:c>
      <x:c r="I89" s="95" t="str">
        <x:v>Ident</x:v>
      </x:c>
      <x:c r="J89" s="95" t="str">
        <x:v>97.8 THE SQUATCH ident</x:v>
      </x:c>
      <x:c r="K89" s="95" t="str">
        <x:v>radio.ident.squatch</x:v>
      </x:c>
      <x:c r="L89" s="95" t="str">
        <x:v>EXISTING</x:v>
      </x:c>
      <x:c r="M89" s="95" t="str">
        <x:v>Run before show intro; no overlap</x:v>
      </x:c>
      <x:c r="N89" s="137"/>
      <x:c r="O89" s="137"/>
      <x:c r="P89" s="137"/>
      <x:c r="Q89" s="137"/>
      <x:c r="R89" s="137"/>
      <x:c r="S89" s="137"/>
      <x:c r="T89" s="137"/>
    </x:row>
    <x:row r="90" ht="46" customHeight="1">
      <x:c r="A90" s="94" t="str">
        <x:v>H-LUX-05</x:v>
      </x:c>
      <x:c r="B90" s="94" t="str">
        <x:v>27</x:v>
      </x:c>
      <x:c r="C90" s="94" t="str">
        <x:v>Luxury pre-meeting</x:v>
      </x:c>
      <x:c r="D90" s="115" t="n">
        <x:v>2</x:v>
      </x:c>
      <x:c r="E90" s="111" t="n">
        <x:f>G89</x:f>
        <x:v>4</x:v>
      </x:c>
      <x:c r="F90" s="111" t="n">
        <x:v>72</x:v>
      </x:c>
      <x:c r="G90" s="111" t="n">
        <x:f>E90+F90</x:f>
        <x:v>76</x:v>
      </x:c>
      <x:c r="H90" s="94" t="str">
        <x:v>talkFirst</x:v>
      </x:c>
      <x:c r="I90" s="94" t="str">
        <x:v>Talk</x:v>
      </x:c>
      <x:c r="J90" s="94" t="str">
        <x:v>New campaign-wire recap after a visible night/day passage</x:v>
      </x:c>
      <x:c r="K90" s="94" t="str">
        <x:v>New script + new recording</x:v>
      </x:c>
      <x:c r="L90" s="94" t="str">
        <x:v>NEW</x:v>
      </x:c>
      <x:c r="M90" s="94" t="str"/>
      <x:c r="N90" s="137"/>
      <x:c r="O90" s="137"/>
      <x:c r="P90" s="137"/>
      <x:c r="Q90" s="137"/>
      <x:c r="R90" s="137"/>
      <x:c r="S90" s="137"/>
      <x:c r="T90" s="137"/>
    </x:row>
    <x:row r="91" ht="46" customHeight="1">
      <x:c r="A91" s="95" t="str">
        <x:v>H-LUX-05</x:v>
      </x:c>
      <x:c r="B91" s="95" t="str">
        <x:v>27</x:v>
      </x:c>
      <x:c r="C91" s="95" t="str">
        <x:v>Luxury pre-meeting</x:v>
      </x:c>
      <x:c r="D91" s="116" t="n">
        <x:v>3</x:v>
      </x:c>
      <x:c r="E91" s="112" t="n">
        <x:f>G90</x:f>
        <x:v>76</x:v>
      </x:c>
      <x:c r="F91" s="112" t="n">
        <x:v>15</x:v>
      </x:c>
      <x:c r="G91" s="112" t="n">
        <x:f>E91+F91</x:f>
        <x:v>91</x:v>
      </x:c>
      <x:c r="H91" s="95" t="str">
        <x:v>talkFirst</x:v>
      </x:c>
      <x:c r="I91" s="95" t="str">
        <x:v>Song</x:v>
      </x:c>
      <x:c r="J91" s="95" t="str">
        <x:v>Nehoo With a Guu 0:00–0:15</x:v>
      </x:c>
      <x:c r="K91" s="95" t="str">
        <x:v>nehoo-with-a-guu.mp3</x:v>
      </x:c>
      <x:c r="L91" s="95" t="str">
        <x:v>BROKEN CURRENTLY</x:v>
      </x:c>
      <x:c r="M91" s="95" t="str">
        <x:v>Must hard-cut at exactly 15.0s</x:v>
      </x:c>
      <x:c r="N91" s="137"/>
      <x:c r="O91" s="137"/>
      <x:c r="P91" s="137"/>
      <x:c r="Q91" s="137"/>
      <x:c r="R91" s="137"/>
      <x:c r="S91" s="137"/>
      <x:c r="T91" s="137"/>
    </x:row>
    <x:row r="92" ht="46" customHeight="1">
      <x:c r="A92" s="94" t="str">
        <x:v>H-LUX-05</x:v>
      </x:c>
      <x:c r="B92" s="94" t="str">
        <x:v>27</x:v>
      </x:c>
      <x:c r="C92" s="94" t="str">
        <x:v>Luxury pre-meeting</x:v>
      </x:c>
      <x:c r="D92" s="115" t="n">
        <x:v>4</x:v>
      </x:c>
      <x:c r="E92" s="111" t="n">
        <x:f>G91</x:f>
        <x:v>91</x:v>
      </x:c>
      <x:c r="F92" s="111" t="n">
        <x:v>50</x:v>
      </x:c>
      <x:c r="G92" s="111" t="n">
        <x:f>E92+F92</x:f>
        <x:v>141</x:v>
      </x:c>
      <x:c r="H92" s="94" t="str">
        <x:v>talkFirst</x:v>
      </x:c>
      <x:c r="I92" s="94" t="str">
        <x:v>Ad</x:v>
      </x:c>
      <x:c r="J92" s="94" t="str">
        <x:v>Dedicated Nehoo interruption ad</x:v>
      </x:c>
      <x:c r="K92" s="94" t="str">
        <x:v>ad.neehu</x:v>
      </x:c>
      <x:c r="L92" s="94" t="str">
        <x:v>NEW</x:v>
      </x:c>
      <x:c r="M92" s="94" t="str">
        <x:v>Independent of meeting-notice eligibility</x:v>
      </x:c>
      <x:c r="N92" s="137"/>
      <x:c r="O92" s="137"/>
      <x:c r="P92" s="137"/>
      <x:c r="Q92" s="137"/>
      <x:c r="R92" s="137"/>
      <x:c r="S92" s="137"/>
      <x:c r="T92" s="137"/>
    </x:row>
    <x:row r="93" ht="46" customHeight="1">
      <x:c r="A93" s="95" t="str">
        <x:v>H-LUX-05</x:v>
      </x:c>
      <x:c r="B93" s="95" t="str">
        <x:v>27</x:v>
      </x:c>
      <x:c r="C93" s="95" t="str">
        <x:v>Luxury pre-meeting</x:v>
      </x:c>
      <x:c r="D93" s="116" t="n">
        <x:v>5</x:v>
      </x:c>
      <x:c r="E93" s="112" t="n">
        <x:f>G92</x:f>
        <x:v>141</x:v>
      </x:c>
      <x:c r="F93" s="112" t="n">
        <x:v>80</x:v>
      </x:c>
      <x:c r="G93" s="112" t="n">
        <x:f>E93+F93</x:f>
        <x:v>221</x:v>
      </x:c>
      <x:c r="H93" s="95" t="str">
        <x:v>talkFirst</x:v>
      </x:c>
      <x:c r="I93" s="95" t="str">
        <x:v>Talk</x:v>
      </x:c>
      <x:c r="J93" s="95" t="str">
        <x:v>New pre-meeting block that increases dread without revealing initiation</x:v>
      </x:c>
      <x:c r="K93" s="95" t="str">
        <x:v>New script + new recording</x:v>
      </x:c>
      <x:c r="L93" s="95" t="str">
        <x:v>NEW</x:v>
      </x:c>
      <x:c r="M93" s="95" t="str">
        <x:v>Visit-specific material; mark heard only after completion</x:v>
      </x:c>
      <x:c r="N93" s="137"/>
      <x:c r="O93" s="137"/>
      <x:c r="P93" s="137"/>
      <x:c r="Q93" s="137"/>
      <x:c r="R93" s="137"/>
      <x:c r="S93" s="137"/>
      <x:c r="T93" s="137"/>
    </x:row>
    <x:row r="94" ht="46" customHeight="1">
      <x:c r="A94" s="94" t="str">
        <x:v>H-LUX-05</x:v>
      </x:c>
      <x:c r="B94" s="94" t="str">
        <x:v>27</x:v>
      </x:c>
      <x:c r="C94" s="94" t="str">
        <x:v>Luxury pre-meeting</x:v>
      </x:c>
      <x:c r="D94" s="115" t="n">
        <x:v>6</x:v>
      </x:c>
      <x:c r="E94" s="111" t="n">
        <x:f>G93</x:f>
        <x:v>221</x:v>
      </x:c>
      <x:c r="F94" s="111" t="n">
        <x:v>30</x:v>
      </x:c>
      <x:c r="G94" s="111" t="n">
        <x:f>E94+F94</x:f>
        <x:v>251</x:v>
      </x:c>
      <x:c r="H94" s="94" t="str">
        <x:v>talkFirst</x:v>
      </x:c>
      <x:c r="I94" s="94" t="str">
        <x:v>Song</x:v>
      </x:c>
      <x:c r="J94" s="94" t="str">
        <x:v>Through the Night</x:v>
      </x:c>
      <x:c r="K94" s="94" t="str">
        <x:v>through-the-night.mp3</x:v>
      </x:c>
      <x:c r="L94" s="94" t="str">
        <x:v>EXISTING</x:v>
      </x:c>
      <x:c r="M94" s="94" t="str">
        <x:v>30s station edit</x:v>
      </x:c>
      <x:c r="N94" s="137"/>
      <x:c r="O94" s="137"/>
      <x:c r="P94" s="137"/>
      <x:c r="Q94" s="137"/>
      <x:c r="R94" s="137"/>
      <x:c r="S94" s="137"/>
      <x:c r="T94" s="137"/>
    </x:row>
    <x:row r="95" ht="46" customHeight="1">
      <x:c r="A95" s="96" t="str">
        <x:v>H-LUX-05</x:v>
      </x:c>
      <x:c r="B95" s="96" t="str">
        <x:v>27</x:v>
      </x:c>
      <x:c r="C95" s="96" t="str">
        <x:v>Luxury pre-meeting</x:v>
      </x:c>
      <x:c r="D95" s="117" t="n">
        <x:v>7</x:v>
      </x:c>
      <x:c r="E95" s="113" t="n">
        <x:f>G94</x:f>
        <x:v>251</x:v>
      </x:c>
      <x:c r="F95" s="113" t="n">
        <x:v>49</x:v>
      </x:c>
      <x:c r="G95" s="113" t="n">
        <x:f>E95+F95</x:f>
        <x:v>300</x:v>
      </x:c>
      <x:c r="H95" s="96" t="str">
        <x:v>talkFirst</x:v>
      </x:c>
      <x:c r="I95" s="96" t="str">
        <x:v>Link / ad</x:v>
      </x:c>
      <x:c r="J95" s="96" t="str">
        <x:v>Short station link, approved ad, and packet handoff</x:v>
      </x:c>
      <x:c r="K95" s="96" t="str">
        <x:v>Existing short cues + new edit</x:v>
      </x:c>
      <x:c r="L95" s="96" t="str">
        <x:v>PARTIAL</x:v>
      </x:c>
      <x:c r="M95" s="96" t="str">
        <x:v>Total packet target = 300s; then resume generic rotation</x:v>
      </x:c>
      <x:c r="N95" s="137"/>
      <x:c r="O95" s="137"/>
      <x:c r="P95" s="137"/>
      <x:c r="Q95" s="137"/>
      <x:c r="R95" s="137"/>
      <x:c r="S95" s="137"/>
      <x:c r="T95" s="137"/>
    </x:row>
  </x:sheetData>
  <x:mergeCells>
    <x:mergeCell ref="A1:S1"/>
    <x:mergeCell ref="A2:S2"/>
  </x:mergeCells>
  <x:conditionalFormatting sqref="L5:L95">
    <x:cfRule type="containsText" dxfId="119" priority="1" operator="containsText" text="P0"/>
    <x:cfRule type="containsText" dxfId="120" priority="2" operator="containsText" text="FAIL"/>
    <x:cfRule type="containsText" dxfId="121" priority="3" operator="containsText" text="BROKEN"/>
    <x:cfRule type="containsText" dxfId="122" priority="4" operator="containsText" text="MISSING"/>
    <x:cfRule type="containsText" dxfId="123" priority="5" operator="containsText" text="DEBT"/>
    <x:cfRule type="containsText" dxfId="124" priority="6" operator="containsText" text="P1"/>
    <x:cfRule type="containsText" dxfId="125" priority="7" operator="containsText" text="OWNER"/>
    <x:cfRule type="containsText" dxfId="126" priority="8" operator="containsText" text="RERECORD"/>
    <x:cfRule type="containsText" dxfId="127" priority="9" operator="containsText" text="PARTIAL"/>
    <x:cfRule type="containsText" dxfId="128" priority="10" operator="containsText" text="P2"/>
    <x:cfRule type="containsText" dxfId="129" priority="11" operator="containsText" text="CONNECTED"/>
    <x:cfRule type="containsText" dxfId="130" priority="12" operator="containsText" text="PASS"/>
    <x:cfRule type="containsText" dxfId="131" priority="13" operator="containsText" text="KEEP"/>
    <x:cfRule type="containsText" dxfId="132" priority="14" operator="containsText" text="EXISTING"/>
    <x:cfRule type="containsText" dxfId="133" priority="15" operator="containsText" text="P3"/>
    <x:cfRule type="containsText" dxfId="134" priority="16" operator="containsText" text="FROZEN"/>
    <x:cfRule type="containsText" dxfId="135" priority="17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bcf8b22de1254b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4" hidden="0" customWidth="1"/>
    <x:col min="4" max="4" width="30" hidden="0" customWidth="1"/>
    <x:col min="5" max="5" width="38" hidden="0" customWidth="1"/>
    <x:col min="6" max="6" width="14" hidden="0" customWidth="1"/>
    <x:col min="7" max="7" width="36" hidden="0" customWidth="1"/>
    <x:col min="8" max="8" width="48" hidden="0" customWidth="1"/>
    <x:col min="9" max="9" width="30" hidden="0" customWidth="1"/>
    <x:col min="10" max="10" width="42" hidden="0" customWidth="1"/>
  </x:cols>
  <x:sheetData>
    <x:row r="1" ht="32" customHeight="1">
      <x:c r="A1" s="136" t="str">
        <x:v>SONGS &amp; SCORES · EXACT PLACEMENT LEDGER</x:v>
      </x:c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 ht="34" customHeight="1">
      <x:c r="A2" s="7" t="str">
        <x:v>Delivered durations and implemented behavior from live source. Arrival cues, Initiation stereo, Nehoo edit policy, and their narrative stop boundaries are named explicitly.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</x:row>
    <x:row r="4" ht="34" customHeight="1">
      <x:c r="A4" s="105" t="str">
        <x:v>Category</x:v>
      </x:c>
      <x:c r="B4" s="105" t="str">
        <x:v>Scene / receiver</x:v>
      </x:c>
      <x:c r="C4" s="105" t="str">
        <x:v>Runtime key</x:v>
      </x:c>
      <x:c r="D4" s="105" t="str">
        <x:v>Track</x:v>
      </x:c>
      <x:c r="E4" s="105" t="str">
        <x:v>Asset</x:v>
      </x:c>
      <x:c r="F4" s="105" t="str">
        <x:v>Duration (s)</x:v>
      </x:c>
      <x:c r="G4" s="105" t="str">
        <x:v>Current playback</x:v>
      </x:c>
      <x:c r="H4" s="105" t="str">
        <x:v>Proposed placement / order</x:v>
      </x:c>
      <x:c r="I4" s="105" t="str">
        <x:v>Finding</x:v>
      </x:c>
      <x:c r="J4" s="105" t="str">
        <x:v>Evidence</x:v>
      </x:c>
    </x:row>
    <x:row r="5" ht="46" customHeight="1">
      <x:c r="A5" s="93" t="str">
        <x:v>97.8 station</x:v>
      </x:c>
      <x:c r="B5" s="93" t="str">
        <x:v>Apartment / many receivers</x:v>
      </x:c>
      <x:c r="C5" s="93" t="str">
        <x:v>97.8</x:v>
      </x:c>
      <x:c r="D5" s="93" t="str">
        <x:v>Good Ole Days</x:v>
      </x:c>
      <x:c r="E5" s="93" t="str">
        <x:v>good-ole-days.mp3</x:v>
      </x:c>
      <x:c r="F5" s="110" t="n">
        <x:v>128.84</x:v>
      </x:c>
      <x:c r="G5" s="93" t="str">
        <x:v>30s edit</x:v>
      </x:c>
      <x:c r="H5" s="93" t="str">
        <x:v>H-APT-01, H-CAB-02, H-LUX-01/03/04, H-MAN-01</x:v>
      </x:c>
      <x:c r="I5" s="93" t="str">
        <x:v>Existing core record</x:v>
      </x:c>
      <x:c r="J5" s="93" t="str">
        <x:v>assets/music/manifest.json</x:v>
      </x:c>
    </x:row>
    <x:row r="6" ht="46" customHeight="1">
      <x:c r="A6" s="94" t="str">
        <x:v>97.8 station</x:v>
      </x:c>
      <x:c r="B6" s="94" t="str">
        <x:v>Apartment</x:v>
      </x:c>
      <x:c r="C6" s="94" t="str">
        <x:v>97.8 apartment</x:v>
      </x:c>
      <x:c r="D6" s="94" t="str">
        <x:v>Cosmic Drift</x:v>
      </x:c>
      <x:c r="E6" s="94" t="str">
        <x:v>cosmic-drift.mp3</x:v>
      </x:c>
      <x:c r="F6" s="111" t="n">
        <x:v>158.24</x:v>
      </x:c>
      <x:c r="G6" s="94" t="str">
        <x:v>30s edit</x:v>
      </x:c>
      <x:c r="H6" s="94" t="str">
        <x:v>H-APT-01/03, H-LUX-01/03</x:v>
      </x:c>
      <x:c r="I6" s="94" t="str">
        <x:v>Apartment-only current pool</x:v>
      </x:c>
      <x:c r="J6" s="94" t="str">
        <x:v>assets/music/manifest.json</x:v>
      </x:c>
    </x:row>
    <x:row r="7" ht="46" customHeight="1">
      <x:c r="A7" s="95" t="str">
        <x:v>97.8 station</x:v>
      </x:c>
      <x:c r="B7" s="95" t="str">
        <x:v>Many receivers</x:v>
      </x:c>
      <x:c r="C7" s="95" t="str">
        <x:v>97.8</x:v>
      </x:c>
      <x:c r="D7" s="95" t="str">
        <x:v>Through the Night</x:v>
      </x:c>
      <x:c r="E7" s="95" t="str">
        <x:v>through-the-night.mp3</x:v>
      </x:c>
      <x:c r="F7" s="112" t="n">
        <x:v>289.08</x:v>
      </x:c>
      <x:c r="G7" s="95" t="str">
        <x:v>30s edit</x:v>
      </x:c>
      <x:c r="H7" s="95" t="str">
        <x:v>H-CAB-01, H-APT-02, H-LUX-02/04/05, H-MAN-02</x:v>
      </x:c>
      <x:c r="I7" s="95" t="str">
        <x:v>Existing core record</x:v>
      </x:c>
      <x:c r="J7" s="95" t="str">
        <x:v>assets/music/manifest.json</x:v>
      </x:c>
    </x:row>
    <x:row r="8" ht="46" customHeight="1">
      <x:c r="A8" s="94" t="str">
        <x:v>97.8 station</x:v>
      </x:c>
      <x:c r="B8" s="94" t="str">
        <x:v>Many receivers</x:v>
      </x:c>
      <x:c r="C8" s="94" t="str">
        <x:v>97.8</x:v>
      </x:c>
      <x:c r="D8" s="94" t="str">
        <x:v>10 Drunk Cigarettes</x:v>
      </x:c>
      <x:c r="E8" s="94" t="str">
        <x:v>10-drunk-cigarettes.mp3</x:v>
      </x:c>
      <x:c r="F8" s="111" t="n">
        <x:v>137.439</x:v>
      </x:c>
      <x:c r="G8" s="94" t="str">
        <x:v>30s edit</x:v>
      </x:c>
      <x:c r="H8" s="94" t="str">
        <x:v>H-CAB-02/03, H-LUX-02</x:v>
      </x:c>
      <x:c r="I8" s="94" t="str">
        <x:v>Existing core record</x:v>
      </x:c>
      <x:c r="J8" s="94" t="str">
        <x:v>assets/music/manifest.json</x:v>
      </x:c>
    </x:row>
    <x:row r="9" ht="46" customHeight="1">
      <x:c r="A9" s="95" t="str">
        <x:v>97.8 station</x:v>
      </x:c>
      <x:c r="B9" s="95" t="str">
        <x:v>Many receivers</x:v>
      </x:c>
      <x:c r="C9" s="95" t="str">
        <x:v>97.8</x:v>
      </x:c>
      <x:c r="D9" s="95" t="str">
        <x:v>I Ain’t Gay</x:v>
      </x:c>
      <x:c r="E9" s="95" t="str">
        <x:v>i-aint-gay.mp3</x:v>
      </x:c>
      <x:c r="F9" s="112" t="n">
        <x:v>124.83</x:v>
      </x:c>
      <x:c r="G9" s="95" t="str">
        <x:v>30s edit</x:v>
      </x:c>
      <x:c r="H9" s="95" t="str">
        <x:v>H-CAB-01 / generic rotation</x:v>
      </x:c>
      <x:c r="I9" s="95" t="str">
        <x:v>Existing core record</x:v>
      </x:c>
      <x:c r="J9" s="95" t="str">
        <x:v>assets/music/manifest.json</x:v>
      </x:c>
    </x:row>
    <x:row r="10" ht="46" customHeight="1">
      <x:c r="A10" s="94" t="str">
        <x:v>97.8 station</x:v>
      </x:c>
      <x:c r="B10" s="94" t="str">
        <x:v>All relevant receivers / Golf</x:v>
      </x:c>
      <x:c r="C10" s="94" t="str">
        <x:v>97.8</x:v>
      </x:c>
      <x:c r="D10" s="94" t="str">
        <x:v>Nehoo With a Guu</x:v>
      </x:c>
      <x:c r="E10" s="94" t="str">
        <x:v>nehoo-with-a-guu.mp3</x:v>
      </x:c>
      <x:c r="F10" s="111" t="n">
        <x:v>251.426</x:v>
      </x:c>
      <x:c r="G10" s="94" t="str">
        <x:v>15s explicit edit where selected; full-track policy only where declared</x:v>
      </x:c>
      <x:c r="H10" s="94" t="str">
        <x:v>H-CAB-03, H-LUX-05, and Golf: exact 15s → jerky ad</x:v>
      </x:c>
      <x:c r="I10" s="94" t="str">
        <x:v>RESOLVED · browser receipt proves 15.667s media transition to jerky</x:v>
      </x:c>
      <x:c r="J10" s="94" t="str">
        <x:v>src/core/radio.js; tools/verify-radio-program.mjs</x:v>
      </x:c>
    </x:row>
    <x:row r="11" ht="46" customHeight="1">
      <x:c r="A11" s="95" t="str">
        <x:v>97.8 station</x:v>
      </x:c>
      <x:c r="B11" s="95" t="str">
        <x:v>Mansion</x:v>
      </x:c>
      <x:c r="C11" s="95" t="str">
        <x:v>97.8 mansion</x:v>
      </x:c>
      <x:c r="D11" s="95" t="str">
        <x:v>Daydream Diner 2</x:v>
      </x:c>
      <x:c r="E11" s="95" t="str">
        <x:v>daydream-diner-2.mp3</x:v>
      </x:c>
      <x:c r="F11" s="112" t="n">
        <x:v>139.92</x:v>
      </x:c>
      <x:c r="G11" s="95" t="str">
        <x:v>30s edit</x:v>
      </x:c>
      <x:c r="H11" s="95" t="str">
        <x:v>H-MAN-01/02</x:v>
      </x:c>
      <x:c r="I11" s="95" t="str">
        <x:v>Mansion-specific current pool</x:v>
      </x:c>
      <x:c r="J11" s="95" t="str">
        <x:v>assets/music/manifest.json</x:v>
      </x:c>
    </x:row>
    <x:row r="12" ht="46" customHeight="1">
      <x:c r="A12" s="94" t="str">
        <x:v>Bing DJ</x:v>
      </x:c>
      <x:c r="B12" s="94" t="str">
        <x:v>Bada Bing I/II</x:v>
      </x:c>
      <x:c r="C12" s="94" t="str">
        <x:v>music.club</x:v>
      </x:c>
      <x:c r="D12" s="94" t="str">
        <x:v>Sallie J</x:v>
      </x:c>
      <x:c r="E12" s="94" t="str">
        <x:v>sallie-j.mp3</x:v>
      </x:c>
      <x:c r="F12" s="111" t="n">
        <x:v>39.2</x:v>
      </x:c>
      <x:c r="G12" s="94" t="str">
        <x:v>DJ loop/opening record</x:v>
      </x:c>
      <x:c r="H12" s="94" t="str">
        <x:v>Preserve as Bada Bing I opening</x:v>
      </x:c>
      <x:c r="I12" s="94" t="str">
        <x:v>Existing venue music</x:v>
      </x:c>
      <x:c r="J12" s="94" t="str">
        <x:v>src/bing/main.js:101</x:v>
      </x:c>
    </x:row>
    <x:row r="13" ht="46" customHeight="1">
      <x:c r="A13" s="95" t="str">
        <x:v>Bing DJ</x:v>
      </x:c>
      <x:c r="B13" s="95" t="str">
        <x:v>Bada Bing I/II</x:v>
      </x:c>
      <x:c r="C13" s="95" t="str">
        <x:v>music.club</x:v>
      </x:c>
      <x:c r="D13" s="95" t="str">
        <x:v>Squatch Up</x:v>
      </x:c>
      <x:c r="E13" s="95" t="str">
        <x:v>squatch-up.mp3</x:v>
      </x:c>
      <x:c r="F13" s="112" t="n">
        <x:v>137.4</x:v>
      </x:c>
      <x:c r="G13" s="95" t="str">
        <x:v>DJ rotation</x:v>
      </x:c>
      <x:c r="H13" s="95" t="str">
        <x:v>Preserve later-visit rotation</x:v>
      </x:c>
      <x:c r="I13" s="95" t="str">
        <x:v>Existing venue music</x:v>
      </x:c>
      <x:c r="J13" s="95" t="str">
        <x:v>src/bing/main.js:101</x:v>
      </x:c>
    </x:row>
    <x:row r="14" ht="46" customHeight="1">
      <x:c r="A14" s="94" t="str">
        <x:v>Bing DJ</x:v>
      </x:c>
      <x:c r="B14" s="94" t="str">
        <x:v>Bada Bing I/II</x:v>
      </x:c>
      <x:c r="C14" s="94" t="str">
        <x:v>music.club</x:v>
      </x:c>
      <x:c r="D14" s="94" t="str">
        <x:v>Booskibro</x:v>
      </x:c>
      <x:c r="E14" s="94" t="str">
        <x:v>booskibro.mp3</x:v>
      </x:c>
      <x:c r="F14" s="111" t="n">
        <x:v>225</x:v>
      </x:c>
      <x:c r="G14" s="94" t="str">
        <x:v>DJ rotation</x:v>
      </x:c>
      <x:c r="H14" s="94" t="str">
        <x:v>Preserve later-visit rotation</x:v>
      </x:c>
      <x:c r="I14" s="94" t="str">
        <x:v>Existing venue music</x:v>
      </x:c>
      <x:c r="J14" s="94" t="str">
        <x:v>src/bing/main.js:101</x:v>
      </x:c>
    </x:row>
    <x:row r="15" ht="46" customHeight="1">
      <x:c r="A15" s="95" t="str">
        <x:v>Bing DJ</x:v>
      </x:c>
      <x:c r="B15" s="95" t="str">
        <x:v>Bada Bing I/II</x:v>
      </x:c>
      <x:c r="C15" s="95" t="str">
        <x:v>music.club</x:v>
      </x:c>
      <x:c r="D15" s="95" t="str">
        <x:v>Squatches in the House</x:v>
      </x:c>
      <x:c r="E15" s="95" t="str">
        <x:v>squatches-in-the-house.mp3</x:v>
      </x:c>
      <x:c r="F15" s="112" t="n">
        <x:v>101.12</x:v>
      </x:c>
      <x:c r="G15" s="95" t="str">
        <x:v>Requested/rotating record</x:v>
      </x:c>
      <x:c r="H15" s="95" t="str">
        <x:v>Dedicated later-visit placement</x:v>
      </x:c>
      <x:c r="I15" s="95" t="str">
        <x:v>Existing venue music</x:v>
      </x:c>
      <x:c r="J15" s="95" t="str">
        <x:v>src/bing/main.js:101</x:v>
      </x:c>
    </x:row>
    <x:row r="16" ht="46" customHeight="1">
      <x:c r="A16" s="94" t="str">
        <x:v>Bing source</x:v>
      </x:c>
      <x:c r="B16" s="94" t="str">
        <x:v>Office</x:v>
      </x:c>
      <x:c r="C16" s="94" t="str">
        <x:v>office.radio</x:v>
      </x:c>
      <x:c r="D16" s="94" t="str">
        <x:v>Good Ole Days</x:v>
      </x:c>
      <x:c r="E16" s="94" t="str">
        <x:v>good-ole-days.mp3</x:v>
      </x:c>
      <x:c r="F16" s="111" t="n">
        <x:v>128.84</x:v>
      </x:c>
      <x:c r="G16" s="94" t="str">
        <x:v>Positional loop</x:v>
      </x:c>
      <x:c r="H16" s="94" t="str">
        <x:v>Preserve office texture</x:v>
      </x:c>
      <x:c r="I16" s="94" t="str">
        <x:v>Existing</x:v>
      </x:c>
      <x:c r="J16" s="94" t="str">
        <x:v>src/bing/main.js</x:v>
      </x:c>
    </x:row>
    <x:row r="17" ht="46" customHeight="1">
      <x:c r="A17" s="95" t="str">
        <x:v>Bing sting</x:v>
      </x:c>
      <x:c r="B17" s="95" t="str">
        <x:v>Doorway</x:v>
      </x:c>
      <x:c r="C17" s="95" t="str">
        <x:v>music.sensilou</x:v>
      </x:c>
      <x:c r="D17" s="95" t="str">
        <x:v>Sensi Lou</x:v>
      </x:c>
      <x:c r="E17" s="95" t="str">
        <x:v>sensi-lou.mp3</x:v>
      </x:c>
      <x:c r="F17" s="112" t="n">
        <x:v>10.867</x:v>
      </x:c>
      <x:c r="G17" s="95" t="str">
        <x:v>5.0–9.7s sting</x:v>
      </x:c>
      <x:c r="H17" s="95" t="str">
        <x:v>Preserve</x:v>
      </x:c>
      <x:c r="I17" s="95" t="str">
        <x:v>Existing</x:v>
      </x:c>
      <x:c r="J17" s="95" t="str">
        <x:v>src/bing/main.js</x:v>
      </x:c>
    </x:row>
    <x:row r="18" ht="46" customHeight="1">
      <x:c r="A18" s="94" t="str">
        <x:v>Bing sting</x:v>
      </x:c>
      <x:c r="B18" s="94" t="str">
        <x:v>Booski entrance</x:v>
      </x:c>
      <x:c r="C18" s="94" t="str">
        <x:v>music.booski</x:v>
      </x:c>
      <x:c r="D18" s="94" t="str">
        <x:v>Baby Snakes</x:v>
      </x:c>
      <x:c r="E18" s="94" t="str">
        <x:v>baby-snakes.mp3</x:v>
      </x:c>
      <x:c r="F18" s="111" t="n">
        <x:v>108.391</x:v>
      </x:c>
      <x:c r="G18" s="94" t="str">
        <x:v>18.6–22.6s sting</x:v>
      </x:c>
      <x:c r="H18" s="94" t="str">
        <x:v>Preserve</x:v>
      </x:c>
      <x:c r="I18" s="94" t="str">
        <x:v>Existing</x:v>
      </x:c>
      <x:c r="J18" s="94" t="str">
        <x:v>src/bing/main.js</x:v>
      </x:c>
    </x:row>
    <x:row r="19" ht="46" customHeight="1">
      <x:c r="A19" s="95" t="str">
        <x:v>Bing source</x:v>
      </x:c>
      <x:c r="B19" s="95" t="str">
        <x:v>Storeroom</x:v>
      </x:c>
      <x:c r="C19" s="95" t="str">
        <x:v>music.storeroom</x:v>
      </x:c>
      <x:c r="D19" s="95" t="str">
        <x:v>Spy Jazz</x:v>
      </x:c>
      <x:c r="E19" s="95" t="str">
        <x:v>spy-jazz.mp3</x:v>
      </x:c>
      <x:c r="F19" s="112" t="n">
        <x:v>159.64</x:v>
      </x:c>
      <x:c r="G19" s="95" t="str">
        <x:v>Positional loop</x:v>
      </x:c>
      <x:c r="H19" s="95" t="str">
        <x:v>Preserve</x:v>
      </x:c>
      <x:c r="I19" s="95" t="str">
        <x:v>Existing</x:v>
      </x:c>
      <x:c r="J19" s="95" t="str">
        <x:v>src/bing/main.js</x:v>
      </x:c>
    </x:row>
    <x:row r="20" ht="46" customHeight="1">
      <x:c r="A20" s="94" t="str">
        <x:v>Hotdog party</x:v>
      </x:c>
      <x:c r="B20" s="94" t="str">
        <x:v>Bada Bing II</x:v>
      </x:c>
      <x:c r="C20" s="94" t="str">
        <x:v>party.record</x:v>
      </x:c>
      <x:c r="D20" s="94" t="str">
        <x:v>Good Ole Days</x:v>
      </x:c>
      <x:c r="E20" s="94" t="str">
        <x:v>good-ole-days.mp3</x:v>
      </x:c>
      <x:c r="F20" s="111" t="n">
        <x:v>128.84</x:v>
      </x:c>
      <x:c r="G20" s="94" t="str">
        <x:v>Dynamic gain: startup .035; main room .17; other interior .06; exterior .025</x:v>
      </x:c>
      <x:c r="H20" s="94" t="str">
        <x:v>Keep dedicated party order and spatial gain states</x:v>
      </x:c>
      <x:c r="I20" s="94" t="str">
        <x:v>Existing</x:v>
      </x:c>
      <x:c r="J20" s="94" t="str">
        <x:v>src/hotdog/main.js</x:v>
      </x:c>
    </x:row>
    <x:row r="21" ht="46" customHeight="1">
      <x:c r="A21" s="95" t="str">
        <x:v>Signature song</x:v>
      </x:c>
      <x:c r="B21" s="95" t="str">
        <x:v>Beef Run</x:v>
      </x:c>
      <x:c r="C21" s="95" t="str">
        <x:v>music.knocking</x:v>
      </x:c>
      <x:c r="D21" s="95" t="str">
        <x:v>Can’t You Hear Me Knocking</x:v>
      </x:c>
      <x:c r="E21" s="95" t="str">
        <x:v>cant-you-hear-me-knocking.mp3</x:v>
      </x:c>
      <x:c r="F21" s="112" t="n">
        <x:v>435.664</x:v>
      </x:c>
      <x:c r="G21" s="95" t="str">
        <x:v>Triggers above 45 knots; max 180s</x:v>
      </x:c>
      <x:c r="H21" s="95" t="str">
        <x:v>Preserve takeoff needle-drop</x:v>
      </x:c>
      <x:c r="I21" s="95" t="str">
        <x:v>Existing</x:v>
      </x:c>
      <x:c r="J21" s="95" t="str">
        <x:v>src/core/signature-music.js:112; src/beefrun/mission.js:1071</x:v>
      </x:c>
    </x:row>
    <x:row r="22" ht="46" customHeight="1">
      <x:c r="A22" s="94" t="str">
        <x:v>Score</x:v>
      </x:c>
      <x:c r="B22" s="94" t="str">
        <x:v>Motel</x:v>
      </x:c>
      <x:c r="C22" s="94" t="str">
        <x:v>Motel drive score</x:v>
      </x:c>
      <x:c r="D22" s="94" t="str">
        <x:v>Driving Jerky Hotel</x:v>
      </x:c>
      <x:c r="E22" s="94" t="str">
        <x:v>driving-jerky-hotel.mp3</x:v>
      </x:c>
      <x:c r="F22" s="111" t="n">
        <x:v>224.534</x:v>
      </x:c>
      <x:c r="G22" s="94" t="str">
        <x:v>Loops during getaway, not approach</x:v>
      </x:c>
      <x:c r="H22" s="94" t="str">
        <x:v>Preserve getaway-only placement</x:v>
      </x:c>
      <x:c r="I22" s="94" t="str">
        <x:v>Corrected current fact</x:v>
      </x:c>
      <x:c r="J22" s="94" t="str">
        <x:v>src/motel/audio.js:24,1181</x:v>
      </x:c>
    </x:row>
    <x:row r="23" ht="46" customHeight="1">
      <x:c r="A23" s="95" t="str">
        <x:v>Score</x:v>
      </x:c>
      <x:c r="B23" s="95" t="str">
        <x:v>THE TAKE safehouse</x:v>
      </x:c>
      <x:c r="C23" s="95" t="str">
        <x:v>heist.morning.radio</x:v>
      </x:c>
      <x:c r="D23" s="95" t="str">
        <x:v>Codename Sasquatch</x:v>
      </x:c>
      <x:c r="E23" s="95" t="str">
        <x:v>codename-sasquatch.mp3</x:v>
      </x:c>
      <x:c r="F23" s="112" t="n">
        <x:v>104.24</x:v>
      </x:c>
      <x:c r="G23" s="95" t="str">
        <x:v>Fresh-start loop until van departure</x:v>
      </x:c>
      <x:c r="H23" s="95" t="str">
        <x:v>Preserve</x:v>
      </x:c>
      <x:c r="I23" s="95" t="str">
        <x:v>Existing</x:v>
      </x:c>
      <x:c r="J23" s="95" t="str">
        <x:v>src/heist/music.js</x:v>
      </x:c>
    </x:row>
    <x:row r="24" ht="46" customHeight="1">
      <x:c r="A24" s="94" t="str">
        <x:v>Score</x:v>
      </x:c>
      <x:c r="B24" s="94" t="str">
        <x:v>THE TAKE escape</x:v>
      </x:c>
      <x:c r="C24" s="94" t="str">
        <x:v>music.heist.escape-drive</x:v>
      </x:c>
      <x:c r="D24" s="94" t="str">
        <x:v>Driving THE TAKE</x:v>
      </x:c>
      <x:c r="E24" s="94" t="str">
        <x:v>driving-the-take.mp3</x:v>
      </x:c>
      <x:c r="F24" s="111" t="n">
        <x:v>194.654</x:v>
      </x:c>
      <x:c r="G24" s="94" t="str">
        <x:v>Loops while player drives escape</x:v>
      </x:c>
      <x:c r="H24" s="94" t="str">
        <x:v>Preserve</x:v>
      </x:c>
      <x:c r="I24" s="94" t="str">
        <x:v>Existing</x:v>
      </x:c>
      <x:c r="J24" s="94" t="str">
        <x:v>src/heist/main.js:4778</x:v>
      </x:c>
    </x:row>
    <x:row r="25" ht="46" customHeight="1">
      <x:c r="A25" s="95" t="str">
        <x:v>Venue score</x:v>
      </x:c>
      <x:c r="B25" s="95" t="str">
        <x:v>Front &amp; Center</x:v>
      </x:c>
      <x:c r="C25" s="95" t="str">
        <x:v>silver.room.background</x:v>
      </x:c>
      <x:c r="D25" s="95" t="str">
        <x:v>Coco Cabana</x:v>
      </x:c>
      <x:c r="E25" s="95" t="str">
        <x:v>front-and-center-background-35c043f1.mp3</x:v>
      </x:c>
      <x:c r="F25" s="112" t="n">
        <x:v>108.014</x:v>
      </x:c>
      <x:c r="G25" s="95" t="str">
        <x:v>Loop; zone-filtered and dialogue-ducked</x:v>
      </x:c>
      <x:c r="H25" s="95" t="str">
        <x:v>First venue layer</x:v>
      </x:c>
      <x:c r="I25" s="95" t="str">
        <x:v>Existing</x:v>
      </x:c>
      <x:c r="J25" s="95" t="str">
        <x:v>src/silver/music.js:8</x:v>
      </x:c>
    </x:row>
    <x:row r="26" ht="46" customHeight="1">
      <x:c r="A26" s="94" t="str">
        <x:v>Venue feature</x:v>
      </x:c>
      <x:c r="B26" s="94" t="str">
        <x:v>Front &amp; Center</x:v>
      </x:c>
      <x:c r="C26" s="94" t="str">
        <x:v>band.feature.tail</x:v>
      </x:c>
      <x:c r="D26" s="94" t="str">
        <x:v>Big Feet opening</x:v>
      </x:c>
      <x:c r="E26" s="94" t="str">
        <x:v>front-and-center-opening-b3b9d1cc.mp3</x:v>
      </x:c>
      <x:c r="F26" s="111" t="n">
        <x:v>337.12</x:v>
      </x:c>
      <x:c r="G26" s="94" t="str">
        <x:v>First 27s only</x:v>
      </x:c>
      <x:c r="H26" s="94" t="str">
        <x:v>Second venue layer</x:v>
      </x:c>
      <x:c r="I26" s="94" t="str">
        <x:v>Existing</x:v>
      </x:c>
      <x:c r="J26" s="94" t="str">
        <x:v>src/silver/perform.js:79</x:v>
      </x:c>
    </x:row>
    <x:row r="27" ht="46" customHeight="1">
      <x:c r="A27" s="95" t="str">
        <x:v>Venue feature</x:v>
      </x:c>
      <x:c r="B27" s="95" t="str">
        <x:v>Front &amp; Center</x:v>
      </x:c>
      <x:c r="C27" s="95" t="str">
        <x:v>band.feature</x:v>
      </x:c>
      <x:c r="D27" s="95" t="str">
        <x:v>Bananaphone</x:v>
      </x:c>
      <x:c r="E27" s="95" t="str">
        <x:v>front-and-center-bananaphone-e786d7fe.mp3</x:v>
      </x:c>
      <x:c r="F27" s="112" t="n">
        <x:v>194.363</x:v>
      </x:c>
      <x:c r="G27" s="95" t="str">
        <x:v>192.62s featured performance</x:v>
      </x:c>
      <x:c r="H27" s="95" t="str">
        <x:v>Third venue layer</x:v>
      </x:c>
      <x:c r="I27" s="95" t="str">
        <x:v>Existing</x:v>
      </x:c>
      <x:c r="J27" s="95" t="str">
        <x:v>src/silver/perform.js:79</x:v>
      </x:c>
    </x:row>
    <x:row r="28" ht="46" customHeight="1">
      <x:c r="A28" s="94" t="str">
        <x:v>Signature song</x:v>
      </x:c>
      <x:c r="B28" s="94" t="str">
        <x:v>Enola takeoff</x:v>
      </x:c>
      <x:c r="C28" s="94" t="str">
        <x:v>music.takeoff</x:v>
      </x:c>
      <x:c r="D28" s="94" t="str">
        <x:v>Fortunate Son</x:v>
      </x:c>
      <x:c r="E28" s="94" t="str">
        <x:v>fortunate-son.mp3</x:v>
      </x:c>
      <x:c r="F28" s="111" t="n">
        <x:v>231.991</x:v>
      </x:c>
      <x:c r="G28" s="94" t="str">
        <x:v>Maximum 150s</x:v>
      </x:c>
      <x:c r="H28" s="94" t="str">
        <x:v>Part 1 of mission arc</x:v>
      </x:c>
      <x:c r="I28" s="94" t="str">
        <x:v>Existing</x:v>
      </x:c>
      <x:c r="J28" s="94" t="str">
        <x:v>src/enolasquatch/main.js:338</x:v>
      </x:c>
    </x:row>
    <x:row r="29" ht="46" customHeight="1">
      <x:c r="A29" s="95" t="str">
        <x:v>Score</x:v>
      </x:c>
      <x:c r="B29" s="95" t="str">
        <x:v>Enola approach</x:v>
      </x:c>
      <x:c r="C29" s="95" t="str">
        <x:v>music.enola.approach</x:v>
      </x:c>
      <x:c r="D29" s="95" t="str">
        <x:v>Pre-bomb-drop Approach</x:v>
      </x:c>
      <x:c r="E29" s="95" t="str">
        <x:v>enola-pre-bomb-drop-approach.mp3</x:v>
      </x:c>
      <x:c r="F29" s="112" t="n">
        <x:v>37.654</x:v>
      </x:c>
      <x:c r="G29" s="95" t="str">
        <x:v>Authored 37.704s; ends at bomb release</x:v>
      </x:c>
      <x:c r="H29" s="95" t="str">
        <x:v>Part 2 of mission arc</x:v>
      </x:c>
      <x:c r="I29" s="95" t="str">
        <x:v>Existing</x:v>
      </x:c>
      <x:c r="J29" s="95" t="str">
        <x:v>src/enolasquatch/audio.js:49</x:v>
      </x:c>
    </x:row>
    <x:row r="30" ht="46" customHeight="1">
      <x:c r="A30" s="94" t="str">
        <x:v>Score</x:v>
      </x:c>
      <x:c r="B30" s="94" t="str">
        <x:v>Enola escape</x:v>
      </x:c>
      <x:c r="C30" s="94" t="str">
        <x:v>music.enola.escape</x:v>
      </x:c>
      <x:c r="D30" s="94" t="str">
        <x:v>Escape After Drop</x:v>
      </x:c>
      <x:c r="E30" s="94" t="str">
        <x:v>enola-escape-after-drop.mp3</x:v>
      </x:c>
      <x:c r="F30" s="111" t="n">
        <x:v>148.134</x:v>
      </x:c>
      <x:c r="G30" s="94" t="str">
        <x:v>Authored 148.2s; starts after 1.8s silence</x:v>
      </x:c>
      <x:c r="H30" s="94" t="str">
        <x:v>Part 3 of mission arc</x:v>
      </x:c>
      <x:c r="I30" s="94" t="str">
        <x:v>Existing</x:v>
      </x:c>
      <x:c r="J30" s="94" t="str">
        <x:v>src/enolasquatch/audio.js:49</x:v>
      </x:c>
    </x:row>
    <x:row r="31" ht="46" customHeight="1">
      <x:c r="A31" s="95" t="str">
        <x:v>Required ambience</x:v>
      </x:c>
      <x:c r="B31" s="95" t="str">
        <x:v>Initiation exterior</x:v>
      </x:c>
      <x:c r="C31" s="95" t="str">
        <x:v>initiation.cabin.music</x:v>
      </x:c>
      <x:c r="D31" s="95" t="str">
        <x:v>Initiation Cabin Stereo</x:v>
      </x:c>
      <x:c r="E31" s="95" t="str">
        <x:v>initiation-cabin-stereo.mp3</x:v>
      </x:c>
      <x:c r="F31" s="112" t="n">
        <x:v>90.044</x:v>
      </x:c>
      <x:c r="G31" s="95" t="str">
        <x:v>Positional loop; .19 muffled outside / .24 open inside</x:v>
      </x:c>
      <x:c r="H31" s="95" t="str">
        <x:v>Fade for five seconds before oath; never restart</x:v>
      </x:c>
      <x:c r="I31" s="95" t="str">
        <x:v>DELIVERED / VERIFIED</x:v>
      </x:c>
      <x:c r="J31" s="95" t="str">
        <x:v>src/initiation/cabin/ambience.js; tools/verify-initiation.mjs</x:v>
      </x:c>
    </x:row>
    <x:row r="32" ht="46" customHeight="1">
      <x:c r="A32" s="94" t="str">
        <x:v>Arrival score</x:v>
      </x:c>
      <x:c r="B32" s="94" t="str">
        <x:v>Graveyard arrival</x:v>
      </x:c>
      <x:c r="C32" s="94" t="str">
        <x:v>music.arrival.squatch-graveyard</x:v>
      </x:c>
      <x:c r="D32" s="94" t="str">
        <x:v>Graveyard Arrival Score</x:v>
      </x:c>
      <x:c r="E32" s="94" t="str">
        <x:v>graveyard-arrival-score.mp3</x:v>
      </x:c>
      <x:c r="F32" s="111" t="n">
        <x:v>45.035</x:v>
      </x:c>
      <x:c r="G32" s="94" t="str">
        <x:v>One-shot at arrival</x:v>
      </x:c>
      <x:c r="H32" s="94" t="str">
        <x:v>Fade at body pickup</x:v>
      </x:c>
      <x:c r="I32" s="94" t="str">
        <x:v>DELIVERED / VERIFIED</x:v>
      </x:c>
      <x:c r="J32" s="94" t="str">
        <x:v>src/core/campaign-arrival-score.js; tools/verify-graveyard.mjs</x:v>
      </x:c>
    </x:row>
    <x:row r="33" ht="46" customHeight="1">
      <x:c r="A33" s="95" t="str">
        <x:v>Arrival score</x:v>
      </x:c>
      <x:c r="B33" s="95" t="str">
        <x:v>Silver Case pickup</x:v>
      </x:c>
      <x:c r="C33" s="95" t="str">
        <x:v>music.arrival.silver-case</x:v>
      </x:c>
      <x:c r="D33" s="95" t="str">
        <x:v>Silver Case Pickup Score</x:v>
      </x:c>
      <x:c r="E33" s="95" t="str">
        <x:v>silver-case-pickup-score.mp3</x:v>
      </x:c>
      <x:c r="F33" s="112" t="n">
        <x:v>45.035</x:v>
      </x:c>
      <x:c r="G33" s="95" t="str">
        <x:v>One-shot in pickup car</x:v>
      </x:c>
      <x:c r="H33" s="95" t="str">
        <x:v>Fade at hallway arrival</x:v>
      </x:c>
      <x:c r="I33" s="95" t="str">
        <x:v>DELIVERED / VERIFIED</x:v>
      </x:c>
      <x:c r="J33" s="95" t="str">
        <x:v>src/core/campaign-arrival-score.js; tools/verify-silvercase.mjs</x:v>
      </x:c>
    </x:row>
    <x:row r="34" ht="46" customHeight="1">
      <x:c r="A34" s="101" t="str">
        <x:v>Arrival score</x:v>
      </x:c>
      <x:c r="B34" s="101" t="str">
        <x:v>Cartel Palace approach</x:v>
      </x:c>
      <x:c r="C34" s="101" t="str">
        <x:v>music.arrival.cartel-palace</x:v>
      </x:c>
      <x:c r="D34" s="101" t="str">
        <x:v>Cartel Palace Arrival Score</x:v>
      </x:c>
      <x:c r="E34" s="101" t="str">
        <x:v>cartel-palace-arrival-score.mp3</x:v>
      </x:c>
      <x:c r="F34" s="134" t="n">
        <x:v>55.014</x:v>
      </x:c>
      <x:c r="G34" s="101" t="str">
        <x:v>One-shot on approach</x:v>
      </x:c>
      <x:c r="H34" s="101" t="str">
        <x:v>Fade at perimeter/alarm</x:v>
      </x:c>
      <x:c r="I34" s="101" t="str">
        <x:v>DELIVERED / VERIFIED</x:v>
      </x:c>
      <x:c r="J34" s="101" t="str">
        <x:v>src/core/campaign-arrival-score.js; tools/verify-cartel-palace.mjs</x:v>
      </x:c>
    </x:row>
  </x:sheetData>
  <x:mergeCells>
    <x:mergeCell ref="A1:J1"/>
    <x:mergeCell ref="A2:J2"/>
  </x:mergeCells>
  <x:conditionalFormatting sqref="I5:I34">
    <x:cfRule type="containsText" dxfId="136" priority="1" operator="containsText" text="P0"/>
    <x:cfRule type="containsText" dxfId="137" priority="2" operator="containsText" text="FAIL"/>
    <x:cfRule type="containsText" dxfId="138" priority="3" operator="containsText" text="BROKEN"/>
    <x:cfRule type="containsText" dxfId="139" priority="4" operator="containsText" text="MISSING"/>
    <x:cfRule type="containsText" dxfId="140" priority="5" operator="containsText" text="DEBT"/>
    <x:cfRule type="containsText" dxfId="141" priority="6" operator="containsText" text="P1"/>
    <x:cfRule type="containsText" dxfId="142" priority="7" operator="containsText" text="OWNER"/>
    <x:cfRule type="containsText" dxfId="143" priority="8" operator="containsText" text="RERECORD"/>
    <x:cfRule type="containsText" dxfId="144" priority="9" operator="containsText" text="PARTIAL"/>
    <x:cfRule type="containsText" dxfId="145" priority="10" operator="containsText" text="P2"/>
    <x:cfRule type="containsText" dxfId="146" priority="11" operator="containsText" text="CONNECTED"/>
    <x:cfRule type="containsText" dxfId="147" priority="12" operator="containsText" text="PASS"/>
    <x:cfRule type="containsText" dxfId="148" priority="13" operator="containsText" text="KEEP"/>
    <x:cfRule type="containsText" dxfId="149" priority="14" operator="containsText" text="EXISTING"/>
    <x:cfRule type="containsText" dxfId="150" priority="15" operator="containsText" text="P3"/>
    <x:cfRule type="containsText" dxfId="151" priority="16" operator="containsText" text="FROZEN"/>
    <x:cfRule type="containsText" dxfId="152" priority="17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27df0728e18f46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43" hidden="0" customWidth="1"/>
    <x:col min="4" max="4" width="45" hidden="0" customWidth="1"/>
    <x:col min="5" max="5" width="48" hidden="0" customWidth="1"/>
    <x:col min="6" max="6" width="15" hidden="0" customWidth="1"/>
    <x:col min="7" max="7" width="42" hidden="0" customWidth="1"/>
  </x:cols>
  <x:sheetData>
    <x:row r="1" ht="32" customHeight="1">
      <x:c r="A1" s="136" t="str">
        <x:v>DIALOGUE FINDINGS · KEEP, TARGET, OR FREEZE</x:v>
      </x:c>
      <x:c r="B1" s="136"/>
      <x:c r="C1" s="136"/>
      <x:c r="D1" s="136"/>
      <x:c r="E1" s="136"/>
      <x:c r="F1" s="136"/>
      <x:c r="G1" s="136"/>
    </x:row>
    <x:row r="2" ht="34" customHeight="1">
      <x:c r="A2" s="7" t="str">
        <x:v>This is a targeted quality and chronology pass. Strong scenes stay strong; weak confirmations and abstract exposition are addressed without a blanket rewrite.</x:v>
      </x:c>
      <x:c r="B2" s="7"/>
      <x:c r="C2" s="7"/>
      <x:c r="D2" s="7"/>
      <x:c r="E2" s="7"/>
      <x:c r="F2" s="7"/>
      <x:c r="G2" s="7"/>
    </x:row>
    <x:row r="3">
      <x:c r="A3" s="137"/>
      <x:c r="B3" s="137"/>
      <x:c r="C3" s="137"/>
      <x:c r="D3" s="137"/>
      <x:c r="E3" s="137"/>
      <x:c r="F3" s="137"/>
      <x:c r="G3" s="137"/>
    </x:row>
    <x:row r="4" ht="34" customHeight="1">
      <x:c r="A4" s="105" t="str">
        <x:v>Scene</x:v>
      </x:c>
      <x:c r="B4" s="105" t="str">
        <x:v>Verdict</x:v>
      </x:c>
      <x:c r="C4" s="105" t="str">
        <x:v>What is strong</x:v>
      </x:c>
      <x:c r="D4" s="105" t="str">
        <x:v>What is weak / mismatched</x:v>
      </x:c>
      <x:c r="E4" s="105" t="str">
        <x:v>Direction</x:v>
      </x:c>
      <x:c r="F4" s="105" t="str">
        <x:v>Priority</x:v>
      </x:c>
      <x:c r="G4" s="105" t="str">
        <x:v>Evidence</x:v>
      </x:c>
    </x:row>
    <x:row r="5" ht="46" customHeight="1">
      <x:c r="A5" s="93" t="str">
        <x:v>Cabin dungeon</x:v>
      </x:c>
      <x:c r="B5" s="93" t="str">
        <x:v>KEEP</x:v>
      </x:c>
      <x:c r="C5" s="93" t="str">
        <x:v>Gratin, the prisoners, tools, Counter-Strike rationale, executions, and aftermath are specific and coherent.</x:v>
      </x:c>
      <x:c r="D5" s="93" t="str">
        <x:v>Do not dilute with extra explanation.</x:v>
      </x:c>
      <x:c r="E5" s="93" t="str">
        <x:v>Preserve; the character is Lag, not Wag.</x:v>
      </x:c>
      <x:c r="F5" s="93" t="str">
        <x:v>P3</x:v>
      </x:c>
      <x:c r="G5" s="93" t="str">
        <x:v>src/cabin/script.js</x:v>
      </x:c>
    </x:row>
    <x:row r="6" ht="46" customHeight="1">
      <x:c r="A6" s="94" t="str">
        <x:v>Cabin / Margo call</x:v>
      </x:c>
      <x:c r="B6" s="94" t="str">
        <x:v>P0 PRODUCTION</x:v>
      </x:c>
      <x:c r="C6" s="94" t="str">
        <x:v>Relationship beat is structurally correct.</x:v>
      </x:c>
      <x:c r="D6" s="94" t="str">
        <x:v>Five rerecords plus one missing pickup prevent the current performance from being complete.</x:v>
      </x:c>
      <x:c r="E6" s="94" t="str">
        <x:v>Record the six campaign-critical lines before declaring this arc finished.</x:v>
      </x:c>
      <x:c r="F6" s="94" t="str">
        <x:v>P0</x:v>
      </x:c>
      <x:c r="G6" s="94" t="str">
        <x:v>assets/sfx/rerecord.json; VOICE-LINES-NEEDED.md</x:v>
      </x:c>
    </x:row>
    <x:row r="7" ht="46" customHeight="1">
      <x:c r="A7" s="95" t="str">
        <x:v>Squatchfather</x:v>
      </x:c>
      <x:c r="B7" s="95" t="str">
        <x:v>P1</x:v>
      </x:c>
      <x:c r="C7" s="95" t="str">
        <x:v>Core threat and first-hit function are clear.</x:v>
      </x:c>
      <x:c r="D7" s="95" t="str">
        <x:v>Abstract exposition: business disagreement / rejected offer instead of lived insult.</x:v>
      </x:c>
      <x:c r="E7" s="95" t="str">
        <x:v>Use witnessed disrespect, money, status, and dry menace.</x:v>
      </x:c>
      <x:c r="F7" s="95" t="str">
        <x:v>P1</x:v>
      </x:c>
      <x:c r="G7" s="95" t="str">
        <x:v>src/squatchfather/dialogue.json:15-25,56-63</x:v>
      </x:c>
    </x:row>
    <x:row r="8" ht="46" customHeight="1">
      <x:c r="A8" s="94" t="str">
        <x:v>Bada Bing I</x:v>
      </x:c>
      <x:c r="B8" s="94" t="str">
        <x:v>P1 / KEEP</x:v>
      </x:c>
      <x:c r="C8" s="94" t="str">
        <x:v>Ensemble banter and Margo introduction are strong.</x:v>
      </x:c>
      <x:c r="D8" s="94" t="str">
        <x:v>Tony often acts as an acknowledgement button.</x:v>
      </x:c>
      <x:c r="E8" s="94" t="str">
        <x:v>Each Tony reply should reveal competence, anxiety, gallows humor, or status.</x:v>
      </x:c>
      <x:c r="F8" s="94" t="str">
        <x:v>P1</x:v>
      </x:c>
      <x:c r="G8" s="94" t="str">
        <x:v>src/bing/script.js:376,408-409</x:v>
      </x:c>
    </x:row>
    <x:row r="9" ht="46" customHeight="1">
      <x:c r="A9" s="95" t="str">
        <x:v>Bada Bing II / Hotdog</x:v>
      </x:c>
      <x:c r="B9" s="95" t="str">
        <x:v>KEEP</x:v>
      </x:c>
      <x:c r="C9" s="95" t="str">
        <x:v>Escalation and NPC comedy are specific.</x:v>
      </x:c>
      <x:c r="D9" s="95" t="str">
        <x:v>Only the Motel handoff is stiff.</x:v>
      </x:c>
      <x:c r="E9" s="95" t="str">
        <x:v>Preserve scene; sharpen Tony's question about what awaits at the motel.</x:v>
      </x:c>
      <x:c r="F9" s="95" t="str">
        <x:v>P2</x:v>
      </x:c>
      <x:c r="G9" s="95" t="str">
        <x:v>src/bing/script.js; src/hotdog/script.js</x:v>
      </x:c>
    </x:row>
    <x:row r="10" ht="46" customHeight="1">
      <x:c r="A10" s="94" t="str">
        <x:v>THE TAKE</x:v>
      </x:c>
      <x:c r="B10" s="94" t="str">
        <x:v>P1</x:v>
      </x:c>
      <x:c r="C10" s="94" t="str">
        <x:v>Tactical dialogue is strong and readable under pressure.</x:v>
      </x:c>
      <x:c r="D10" s="94" t="str">
        <x:v>Debrief becomes a state report.</x:v>
      </x:c>
      <x:c r="E10" s="94" t="str">
        <x:v>Lou should judge what kind of man Tony became, not summarize flags.</x:v>
      </x:c>
      <x:c r="F10" s="94" t="str">
        <x:v>P1</x:v>
      </x:c>
      <x:c r="G10" s="94" t="str">
        <x:v>src/heist/script.js</x:v>
      </x:c>
    </x:row>
    <x:row r="11" ht="46" customHeight="1">
      <x:c r="A11" s="95" t="str">
        <x:v>Motel</x:v>
      </x:c>
      <x:c r="B11" s="95" t="str">
        <x:v>P1</x:v>
      </x:c>
      <x:c r="C11" s="95" t="str">
        <x:v>Danger premise works.</x:v>
      </x:c>
      <x:c r="D11" s="95" t="str">
        <x:v>Mission procedure leaks into spoken dialogue; Tony defaults to confirmation.</x:v>
      </x:c>
      <x:c r="E11" s="95" t="str">
        <x:v>Keep procedure in HUD; make speech reveal motive and panic.</x:v>
      </x:c>
      <x:c r="F11" s="95" t="str">
        <x:v>P1</x:v>
      </x:c>
      <x:c r="G11" s="95" t="str">
        <x:v>src/motel/script.js</x:v>
      </x:c>
    </x:row>
    <x:row r="12" ht="46" customHeight="1">
      <x:c r="A12" s="94" t="str">
        <x:v>Beef Run</x:v>
      </x:c>
      <x:c r="B12" s="94" t="str">
        <x:v>P1</x:v>
      </x:c>
      <x:c r="C12" s="94" t="str">
        <x:v>Sasole introduction and mission role are strong.</x:v>
      </x:c>
      <x:c r="D12" s="94" t="str">
        <x:v>Tony says yes/understood while HUD-worthy procedure is spoken.</x:v>
      </x:c>
      <x:c r="E12" s="94" t="str">
        <x:v>Ask what is really being moved and let Sasole's answer carry character.</x:v>
      </x:c>
      <x:c r="F12" s="94" t="str">
        <x:v>P1</x:v>
      </x:c>
      <x:c r="G12" s="94" t="str">
        <x:v>src/beefrun/script.js</x:v>
      </x:c>
    </x:row>
    <x:row r="13" ht="46" customHeight="1">
      <x:c r="A13" s="95" t="str">
        <x:v>Golf</x:v>
      </x:c>
      <x:c r="B13" s="95" t="str">
        <x:v>P1-light</x:v>
      </x:c>
      <x:c r="C13" s="95" t="str">
        <x:v>Relationship/status writing is strong.</x:v>
      </x:c>
      <x:c r="D13" s="95" t="str">
        <x:v>Repeated service replies flatten Tony.</x:v>
      </x:c>
      <x:c r="E13" s="95" t="str">
        <x:v>Lightly distinguish context; preserve restraint.</x:v>
      </x:c>
      <x:c r="F13" s="95" t="str">
        <x:v>P2</x:v>
      </x:c>
      <x:c r="G13" s="95" t="str">
        <x:v>src/golf/script.js</x:v>
      </x:c>
    </x:row>
    <x:row r="14" ht="46" customHeight="1">
      <x:c r="A14" s="94" t="str">
        <x:v>Front &amp; Center</x:v>
      </x:c>
      <x:c r="B14" s="94" t="str">
        <x:v>KEEP</x:v>
      </x:c>
      <x:c r="C14" s="94" t="str">
        <x:v>Margo date is restrained and emotionally legible.</x:v>
      </x:c>
      <x:c r="D14" s="94" t="str">
        <x:v>No major chronology problem found.</x:v>
      </x:c>
      <x:c r="E14" s="94" t="str">
        <x:v>Preserve; adjust only after playthrough pacing evidence.</x:v>
      </x:c>
      <x:c r="F14" s="94" t="str">
        <x:v>P3</x:v>
      </x:c>
      <x:c r="G14" s="94" t="str">
        <x:v>src/silver/script.js</x:v>
      </x:c>
    </x:row>
    <x:row r="15" ht="46" customHeight="1">
      <x:c r="A15" s="95" t="str">
        <x:v>Silent Squatch</x:v>
      </x:c>
      <x:c r="B15" s="95" t="str">
        <x:v>P1</x:v>
      </x:c>
      <x:c r="C15" s="95" t="str">
        <x:v>Lab reveal is narratively important.</x:v>
      </x:c>
      <x:c r="D15" s="95" t="str">
        <x:v>Six distinct scientists collapse into generic hostage pleas.</x:v>
      </x:c>
      <x:c r="E15" s="95" t="str">
        <x:v>Give each specialty-specific panic without inventing biography.</x:v>
      </x:c>
      <x:c r="F15" s="95" t="str">
        <x:v>P1</x:v>
      </x:c>
      <x:c r="G15" s="95" t="str">
        <x:v>src/mansion/script.js:605-615</x:v>
      </x:c>
    </x:row>
    <x:row r="16" ht="46" customHeight="1">
      <x:c r="A16" s="94" t="str">
        <x:v>Graveyard</x:v>
      </x:c>
      <x:c r="B16" s="94" t="str">
        <x:v>P2</x:v>
      </x:c>
      <x:c r="C16" s="94" t="str">
        <x:v>Crew dynamic works.</x:v>
      </x:c>
      <x:c r="D16" s="94" t="str">
        <x:v>One ethnicity-based crude line is detached from Colton and story.</x:v>
      </x:c>
      <x:c r="E16" s="94" t="str">
        <x:v>Make the filth character-specific rather than ethnicity-specific.</x:v>
      </x:c>
      <x:c r="F16" s="94" t="str">
        <x:v>P2</x:v>
      </x:c>
      <x:c r="G16" s="94" t="str">
        <x:v>src/graveyard/script.js</x:v>
      </x:c>
    </x:row>
    <x:row r="17" ht="46" customHeight="1">
      <x:c r="A17" s="95" t="str">
        <x:v>No Wake</x:v>
      </x:c>
      <x:c r="B17" s="95" t="str">
        <x:v>OWNER / KEEP</x:v>
      </x:c>
      <x:c r="C17" s="95" t="str">
        <x:v>Clipped pressure-cooker writing supports the scene.</x:v>
      </x:c>
      <x:c r="D17" s="95" t="str">
        <x:v>Comedy pass could damage intended restraint.</x:v>
      </x:c>
      <x:c r="E17" s="95" t="str">
        <x:v>Do not automatically add jokes or pleading; owner decides.</x:v>
      </x:c>
      <x:c r="F17" s="95" t="str">
        <x:v>OWNER</x:v>
      </x:c>
      <x:c r="G17" s="95" t="str">
        <x:v>src/nowake/script.js</x:v>
      </x:c>
    </x:row>
    <x:row r="18" ht="46" customHeight="1">
      <x:c r="A18" s="94" t="str">
        <x:v>Enola</x:v>
      </x:c>
      <x:c r="B18" s="94" t="str">
        <x:v>P2</x:v>
      </x:c>
      <x:c r="C18" s="94" t="str">
        <x:v>Mission arc and wrong-city dread work.</x:v>
      </x:c>
      <x:c r="D18" s="94" t="str">
        <x:v>Shooter quips land at the darkest payoff.</x:v>
      </x:c>
      <x:c r="E18" s="94" t="str">
        <x:v>Replace with panic, guilt, stunned procedure, or refusal to look.</x:v>
      </x:c>
      <x:c r="F18" s="94" t="str">
        <x:v>P2</x:v>
      </x:c>
      <x:c r="G18" s="94" t="str">
        <x:v>src/enolasquatch/script.js</x:v>
      </x:c>
    </x:row>
    <x:row r="19" ht="46" customHeight="1">
      <x:c r="A19" s="95" t="str">
        <x:v>Mansion Return</x:v>
      </x:c>
      <x:c r="B19" s="95" t="str">
        <x:v>KEEP</x:v>
      </x:c>
      <x:c r="C19" s="95" t="str">
        <x:v>Wrong city, crater, Sauce, and Palace evidence connect perfectly.</x:v>
      </x:c>
      <x:c r="D19" s="95" t="str">
        <x:v>No material mismatch found.</x:v>
      </x:c>
      <x:c r="E19" s="95" t="str">
        <x:v>Preserve verbatim.</x:v>
      </x:c>
      <x:c r="F19" s="95" t="str">
        <x:v>P3</x:v>
      </x:c>
      <x:c r="G19" s="95" t="str">
        <x:v>src/mansion/script.js</x:v>
      </x:c>
    </x:row>
    <x:row r="20" ht="46" customHeight="1">
      <x:c r="A20" s="94" t="str">
        <x:v>Silver Case / Palace / Special Meeting</x:v>
      </x:c>
      <x:c r="B20" s="94" t="str">
        <x:v>KEEP</x:v>
      </x:c>
      <x:c r="C20" s="94" t="str">
        <x:v>Specific, mature, funny, and chronology-correct.</x:v>
      </x:c>
      <x:c r="D20" s="94" t="str">
        <x:v>Risk is reachability/pacing, not copy quality.</x:v>
      </x:c>
      <x:c r="E20" s="94" t="str">
        <x:v>Preserve writing; fix Beat 27 delivery architecture.</x:v>
      </x:c>
      <x:c r="F20" s="94" t="str">
        <x:v>P1 reachability</x:v>
      </x:c>
      <x:c r="G20" s="94" t="str">
        <x:v>src/silvercase/script.js; src/cartel-palace/script.js; src/specialmeeting/script.js</x:v>
      </x:c>
    </x:row>
    <x:row r="21" ht="46" customHeight="1">
      <x:c r="A21" s="96" t="str">
        <x:v>Initiation</x:v>
      </x:c>
      <x:c r="B21" s="96" t="str">
        <x:v>FROZEN</x:v>
      </x:c>
      <x:c r="C21" s="96" t="str">
        <x:v>Ceremony payoff works.</x:v>
      </x:c>
      <x:c r="D21" s="96" t="str">
        <x:v>Player-facing Erican conflicts with canonical Eric.</x:v>
      </x:c>
      <x:c r="E21" s="96" t="str">
        <x:v>Correct only after required human playtest; do not disturb frozen runtime now.</x:v>
      </x:c>
      <x:c r="F21" s="96" t="str">
        <x:v>P2</x:v>
      </x:c>
      <x:c r="G21" s="96" t="str">
        <x:v>src/initiation/script.js</x:v>
      </x:c>
    </x:row>
  </x:sheetData>
  <x:mergeCells>
    <x:mergeCell ref="A1:G1"/>
    <x:mergeCell ref="A2:G2"/>
  </x:mergeCells>
  <x:conditionalFormatting sqref="B5:B21">
    <x:cfRule type="containsText" dxfId="153" priority="1" operator="containsText" text="P0"/>
    <x:cfRule type="containsText" dxfId="154" priority="2" operator="containsText" text="FAIL"/>
    <x:cfRule type="containsText" dxfId="155" priority="3" operator="containsText" text="BROKEN"/>
    <x:cfRule type="containsText" dxfId="156" priority="4" operator="containsText" text="MISSING"/>
    <x:cfRule type="containsText" dxfId="157" priority="5" operator="containsText" text="DEBT"/>
    <x:cfRule type="containsText" dxfId="158" priority="6" operator="containsText" text="P1"/>
    <x:cfRule type="containsText" dxfId="159" priority="7" operator="containsText" text="OWNER"/>
    <x:cfRule type="containsText" dxfId="160" priority="8" operator="containsText" text="RERECORD"/>
    <x:cfRule type="containsText" dxfId="161" priority="9" operator="containsText" text="PARTIAL"/>
    <x:cfRule type="containsText" dxfId="162" priority="10" operator="containsText" text="P2"/>
    <x:cfRule type="containsText" dxfId="163" priority="11" operator="containsText" text="CONNECTED"/>
    <x:cfRule type="containsText" dxfId="164" priority="12" operator="containsText" text="PASS"/>
    <x:cfRule type="containsText" dxfId="165" priority="13" operator="containsText" text="KEEP"/>
    <x:cfRule type="containsText" dxfId="166" priority="14" operator="containsText" text="EXISTING"/>
    <x:cfRule type="containsText" dxfId="167" priority="15" operator="containsText" text="P3"/>
    <x:cfRule type="containsText" dxfId="168" priority="16" operator="containsText" text="FROZEN"/>
    <x:cfRule type="containsText" dxfId="169" priority="17" operator="containsText" text="NEW"/>
  </x:conditionalFormatting>
  <x:conditionalFormatting sqref="F5:F21">
    <x:cfRule type="containsText" dxfId="170" priority="18" operator="containsText" text="P0"/>
    <x:cfRule type="containsText" dxfId="171" priority="19" operator="containsText" text="FAIL"/>
    <x:cfRule type="containsText" dxfId="172" priority="20" operator="containsText" text="BROKEN"/>
    <x:cfRule type="containsText" dxfId="173" priority="21" operator="containsText" text="MISSING"/>
    <x:cfRule type="containsText" dxfId="174" priority="22" operator="containsText" text="DEBT"/>
    <x:cfRule type="containsText" dxfId="175" priority="23" operator="containsText" text="P1"/>
    <x:cfRule type="containsText" dxfId="176" priority="24" operator="containsText" text="OWNER"/>
    <x:cfRule type="containsText" dxfId="177" priority="25" operator="containsText" text="RERECORD"/>
    <x:cfRule type="containsText" dxfId="178" priority="26" operator="containsText" text="PARTIAL"/>
    <x:cfRule type="containsText" dxfId="179" priority="27" operator="containsText" text="P2"/>
    <x:cfRule type="containsText" dxfId="180" priority="28" operator="containsText" text="CONNECTED"/>
    <x:cfRule type="containsText" dxfId="181" priority="29" operator="containsText" text="PASS"/>
    <x:cfRule type="containsText" dxfId="182" priority="30" operator="containsText" text="KEEP"/>
    <x:cfRule type="containsText" dxfId="183" priority="31" operator="containsText" text="EXISTING"/>
    <x:cfRule type="containsText" dxfId="184" priority="32" operator="containsText" text="P3"/>
    <x:cfRule type="containsText" dxfId="185" priority="33" operator="containsText" text="FROZEN"/>
    <x:cfRule type="containsText" dxfId="186" priority="34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022349a16a6743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18" hidden="0" customWidth="1"/>
    <x:col min="4" max="4" width="16" hidden="0" customWidth="1"/>
    <x:col min="5" max="5" width="19" hidden="0" customWidth="1"/>
    <x:col min="6" max="6" width="48" hidden="0" customWidth="1"/>
    <x:col min="7" max="7" width="40" hidden="0" customWidth="1"/>
  </x:cols>
  <x:sheetData>
    <x:row r="1" ht="32" customHeight="1">
      <x:c r="A1" s="136" t="str">
        <x:v>VOICE PICKUPS · CURRENT PRODUCTION QUEUE</x:v>
      </x:c>
      <x:c r="B1" s="136"/>
      <x:c r="C1" s="136"/>
      <x:c r="D1" s="136"/>
      <x:c r="E1" s="136"/>
      <x:c r="F1" s="136"/>
      <x:c r="G1" s="136"/>
    </x:row>
    <x:row r="2" ht="34" customHeight="1">
      <x:c r="A2" s="7" t="str">
        <x:v>Six campaign-critical Cabin/Margo lines are delivered and receipt-backed. One noncritical optional post-campaign door refusal remains openly missing.</x:v>
      </x:c>
      <x:c r="B2" s="7"/>
      <x:c r="C2" s="7"/>
      <x:c r="D2" s="7"/>
      <x:c r="E2" s="7"/>
      <x:c r="F2" s="7"/>
      <x:c r="G2" s="7"/>
    </x:row>
    <x:row r="3">
      <x:c r="A3" s="137"/>
      <x:c r="B3" s="137"/>
      <x:c r="C3" s="137"/>
      <x:c r="D3" s="137"/>
      <x:c r="E3" s="137"/>
      <x:c r="F3" s="137"/>
      <x:c r="G3" s="137"/>
    </x:row>
    <x:row r="4" ht="34" customHeight="1">
      <x:c r="A4" s="105" t="str">
        <x:v>Cue ID</x:v>
      </x:c>
      <x:c r="B4" s="105" t="str">
        <x:v>Scene</x:v>
      </x:c>
      <x:c r="C4" s="105" t="str">
        <x:v>Character</x:v>
      </x:c>
      <x:c r="D4" s="105" t="str">
        <x:v>Status</x:v>
      </x:c>
      <x:c r="E4" s="105" t="str">
        <x:v>Campaign-critical</x:v>
      </x:c>
      <x:c r="F4" s="105" t="str">
        <x:v>Required action</x:v>
      </x:c>
      <x:c r="G4" s="105" t="str">
        <x:v>Evidence</x:v>
      </x:c>
    </x:row>
    <x:row r="5" ht="46" customHeight="1">
      <x:c r="A5" s="93" t="str">
        <x:v>vo.call.margo.cabin_date.1</x:v>
      </x:c>
      <x:c r="B5" s="93" t="str">
        <x:v>Cabin / Margo call</x:v>
      </x:c>
      <x:c r="C5" s="93" t="str">
        <x:v>Margo</x:v>
      </x:c>
      <x:c r="D5" s="93" t="str">
        <x:v>DONE</x:v>
      </x:c>
      <x:c r="E5" s="93" t="str">
        <x:v>Yes</x:v>
      </x:c>
      <x:c r="F5" s="93" t="str">
        <x:v>Delivered; exact render/decode receipt current.</x:v>
      </x:c>
      <x:c r="G5" s="93" t="str">
        <x:v>assets/sfx/takes.json; rendered-voice-receipts.json</x:v>
      </x:c>
    </x:row>
    <x:row r="6" ht="46" customHeight="1">
      <x:c r="A6" s="94" t="str">
        <x:v>vo.call.margo.cabin_date.2</x:v>
      </x:c>
      <x:c r="B6" s="94" t="str">
        <x:v>Cabin / Margo call</x:v>
      </x:c>
      <x:c r="C6" s="94" t="str">
        <x:v>Margo</x:v>
      </x:c>
      <x:c r="D6" s="94" t="str">
        <x:v>DONE</x:v>
      </x:c>
      <x:c r="E6" s="94" t="str">
        <x:v>Yes</x:v>
      </x:c>
      <x:c r="F6" s="94" t="str">
        <x:v>Delivered; exact render/decode receipt current.</x:v>
      </x:c>
      <x:c r="G6" s="94" t="str">
        <x:v>assets/sfx/takes.json; rendered-voice-receipts.json</x:v>
      </x:c>
    </x:row>
    <x:row r="7" ht="46" customHeight="1">
      <x:c r="A7" s="95" t="str">
        <x:v>vo.call.margo.cabin_date.tony.1</x:v>
      </x:c>
      <x:c r="B7" s="95" t="str">
        <x:v>Cabin / Margo call</x:v>
      </x:c>
      <x:c r="C7" s="95" t="str">
        <x:v>Tony</x:v>
      </x:c>
      <x:c r="D7" s="95" t="str">
        <x:v>DONE</x:v>
      </x:c>
      <x:c r="E7" s="95" t="str">
        <x:v>Yes</x:v>
      </x:c>
      <x:c r="F7" s="95" t="str">
        <x:v>Delivered; exact render/decode receipt current.</x:v>
      </x:c>
      <x:c r="G7" s="95" t="str">
        <x:v>assets/sfx/takes.json; rendered-voice-receipts.json</x:v>
      </x:c>
    </x:row>
    <x:row r="8" ht="46" customHeight="1">
      <x:c r="A8" s="94" t="str">
        <x:v>vo.call.margo.cabin_date.tony.2</x:v>
      </x:c>
      <x:c r="B8" s="94" t="str">
        <x:v>Cabin / Margo call</x:v>
      </x:c>
      <x:c r="C8" s="94" t="str">
        <x:v>Tony</x:v>
      </x:c>
      <x:c r="D8" s="94" t="str">
        <x:v>DONE</x:v>
      </x:c>
      <x:c r="E8" s="94" t="str">
        <x:v>Yes</x:v>
      </x:c>
      <x:c r="F8" s="94" t="str">
        <x:v>Delivered; exact render/decode receipt current.</x:v>
      </x:c>
      <x:c r="G8" s="94" t="str">
        <x:v>assets/sfx/takes.json; rendered-voice-receipts.json</x:v>
      </x:c>
    </x:row>
    <x:row r="9" ht="46" customHeight="1">
      <x:c r="A9" s="95" t="str">
        <x:v>vo.call.margo.cabin_date.tony.3</x:v>
      </x:c>
      <x:c r="B9" s="95" t="str">
        <x:v>Cabin / Margo call</x:v>
      </x:c>
      <x:c r="C9" s="95" t="str">
        <x:v>Tony</x:v>
      </x:c>
      <x:c r="D9" s="95" t="str">
        <x:v>DONE</x:v>
      </x:c>
      <x:c r="E9" s="95" t="str">
        <x:v>Yes</x:v>
      </x:c>
      <x:c r="F9" s="95" t="str">
        <x:v>Delivered; exact render/decode receipt current.</x:v>
      </x:c>
      <x:c r="G9" s="95" t="str">
        <x:v>assets/sfx/takes.json; rendered-voice-receipts.json</x:v>
      </x:c>
    </x:row>
    <x:row r="10" ht="46" customHeight="1">
      <x:c r="A10" s="94" t="str">
        <x:v>vo.call.margo.cabin_date.pickup</x:v>
      </x:c>
      <x:c r="B10" s="94" t="str">
        <x:v>Cabin / Margo call</x:v>
      </x:c>
      <x:c r="C10" s="94" t="str">
        <x:v>Margo</x:v>
      </x:c>
      <x:c r="D10" s="94" t="str">
        <x:v>DONE</x:v>
      </x:c>
      <x:c r="E10" s="94" t="str">
        <x:v>Yes</x:v>
      </x:c>
      <x:c r="F10" s="94" t="str">
        <x:v>Delivered and wired into the normal outgoing-call pickup.</x:v>
      </x:c>
      <x:c r="G10" s="94" t="str">
        <x:v>src/cabin/script.js; rendered-voice-receipts.json</x:v>
      </x:c>
    </x:row>
    <x:row r="11" ht="46" customHeight="1">
      <x:c r="A11" s="96" t="str">
        <x:v>vo.door.refusal.campaign_complete.1</x:v>
      </x:c>
      <x:c r="B11" s="96" t="str">
        <x:v>Post-campaign door refusal</x:v>
      </x:c>
      <x:c r="C11" s="96" t="str">
        <x:v>Tony / system</x:v>
      </x:c>
      <x:c r="D11" s="96" t="str">
        <x:v>MISSING</x:v>
      </x:c>
      <x:c r="E11" s="96" t="str">
        <x:v>No</x:v>
      </x:c>
      <x:c r="F11" s="96" t="str">
        <x:v>One noncritical optional line remains in the honest denominator.</x:v>
      </x:c>
      <x:c r="G11" s="96" t="str">
        <x:v>VOICE-LINES-NEEDED.md</x:v>
      </x:c>
    </x:row>
  </x:sheetData>
  <x:mergeCells>
    <x:mergeCell ref="A1:G1"/>
    <x:mergeCell ref="A2:G2"/>
  </x:mergeCells>
  <x:conditionalFormatting sqref="D5:D11">
    <x:cfRule type="containsText" dxfId="187" priority="1" operator="containsText" text="P0"/>
    <x:cfRule type="containsText" dxfId="188" priority="2" operator="containsText" text="FAIL"/>
    <x:cfRule type="containsText" dxfId="189" priority="3" operator="containsText" text="BROKEN"/>
    <x:cfRule type="containsText" dxfId="190" priority="4" operator="containsText" text="MISSING"/>
    <x:cfRule type="containsText" dxfId="191" priority="5" operator="containsText" text="DEBT"/>
    <x:cfRule type="containsText" dxfId="192" priority="6" operator="containsText" text="P1"/>
    <x:cfRule type="containsText" dxfId="193" priority="7" operator="containsText" text="OWNER"/>
    <x:cfRule type="containsText" dxfId="194" priority="8" operator="containsText" text="RERECORD"/>
    <x:cfRule type="containsText" dxfId="195" priority="9" operator="containsText" text="PARTIAL"/>
    <x:cfRule type="containsText" dxfId="196" priority="10" operator="containsText" text="P2"/>
    <x:cfRule type="containsText" dxfId="197" priority="11" operator="containsText" text="CONNECTED"/>
    <x:cfRule type="containsText" dxfId="198" priority="12" operator="containsText" text="PASS"/>
    <x:cfRule type="containsText" dxfId="199" priority="13" operator="containsText" text="KEEP"/>
    <x:cfRule type="containsText" dxfId="200" priority="14" operator="containsText" text="EXISTING"/>
    <x:cfRule type="containsText" dxfId="201" priority="15" operator="containsText" text="P3"/>
    <x:cfRule type="containsText" dxfId="202" priority="16" operator="containsText" text="FROZEN"/>
    <x:cfRule type="containsText" dxfId="203" priority="17" operator="containsText" text="NEW"/>
  </x:conditionalFormatting>
  <x:dataValidations count="1">
    <x:dataValidation type="list" sqref="D5:D11">
      <x:formula1>"RERECORD,MISSING,IN PROGRESS,DONE"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03f949c9a4e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44" hidden="0" customWidth="1"/>
    <x:col min="4" max="4" width="20" hidden="0" customWidth="1"/>
    <x:col min="5" max="5" width="48" hidden="0" customWidth="1"/>
    <x:col min="6" max="6" width="48" hidden="0" customWidth="1"/>
    <x:col min="7" max="7" width="15" hidden="0" customWidth="1"/>
  </x:cols>
  <x:sheetData>
    <x:row r="1" ht="32" customHeight="1">
      <x:c r="A1" s="136" t="str">
        <x:v>CLOSED TEST GAPS · SEMANTIC PROTECTION ADDED</x:v>
      </x:c>
      <x:c r="B1" s="136"/>
      <x:c r="C1" s="136"/>
      <x:c r="D1" s="136"/>
      <x:c r="E1" s="136"/>
      <x:c r="F1" s="136"/>
      <x:c r="G1" s="136"/>
    </x:row>
    <x:row r="2" ht="34" customHeight="1">
      <x:c r="A2" s="7" t="str">
        <x:v>Each original false-confidence gap now points to an implemented protection and names its honest residual boundary. DONE does not mean human taste or performance review is automated.</x:v>
      </x:c>
      <x:c r="B2" s="7"/>
      <x:c r="C2" s="7"/>
      <x:c r="D2" s="7"/>
      <x:c r="E2" s="7"/>
      <x:c r="F2" s="7"/>
      <x:c r="G2" s="7"/>
    </x:row>
    <x:row r="3">
      <x:c r="A3" s="137"/>
      <x:c r="B3" s="137"/>
      <x:c r="C3" s="137"/>
      <x:c r="D3" s="137"/>
      <x:c r="E3" s="137"/>
      <x:c r="F3" s="137"/>
      <x:c r="G3" s="137"/>
    </x:row>
    <x:row r="4" ht="34" customHeight="1">
      <x:c r="A4" s="105" t="str">
        <x:v>Gate</x:v>
      </x:c>
      <x:c r="B4" s="105" t="str">
        <x:v>Protection now</x:v>
      </x:c>
      <x:c r="C4" s="105" t="str">
        <x:v>Residual boundary</x:v>
      </x:c>
      <x:c r="D4" s="105" t="str">
        <x:v>False-confidence risk now</x:v>
      </x:c>
      <x:c r="E4" s="105" t="str">
        <x:v>Concrete evidence</x:v>
      </x:c>
      <x:c r="F4" s="105" t="str">
        <x:v>Implemented semantic protection</x:v>
      </x:c>
      <x:c r="G4" s="105" t="str">
        <x:v>Status</x:v>
      </x:c>
    </x:row>
    <x:row r="5" ht="46" customHeight="1">
      <x:c r="A5" s="93" t="str">
        <x:v>verify:campaign-route</x:v>
      </x:c>
      <x:c r="B5" s="93" t="str">
        <x:v>Real Beat 27 browser path plus canonical fresh-save route</x:v>
      </x:c>
      <x:c r="C5" s="93" t="str">
        <x:v>A human pacing judgment still requires playtest</x:v>
      </x:c>
      <x:c r="D5" s="93" t="str">
        <x:v>Low</x:v>
      </x:c>
      <x:c r="E5" s="93" t="str">
        <x:v>Luxury now runs SM-010…SM-090 before the pickup handoff.</x:v>
      </x:c>
      <x:c r="F5" s="93" t="str">
        <x:v>Shared home-prelude adapter and exact browser golden-path receipt.</x:v>
      </x:c>
      <x:c r="G5" s="93" t="str">
        <x:v>DONE</x:v>
      </x:c>
    </x:row>
    <x:row r="6" ht="46" customHeight="1">
      <x:c r="A6" s="94" t="str">
        <x:v>verify:campaign-marathon</x:v>
      </x:c>
      <x:c r="B6" s="94" t="str">
        <x:v>Production Initiation credits reveal the replay portal and preserve durable completion</x:v>
      </x:c>
      <x:c r="C6" s="94" t="str">
        <x:v>It cannot judge whether the credit duration feels right</x:v>
      </x:c>
      <x:c r="D6" s="94" t="str">
        <x:v>Low</x:v>
      </x:c>
      <x:c r="E6" s="94" t="str">
        <x:v>The actual Click here to replay anything button targets preview.html.</x:v>
      </x:c>
      <x:c r="F6" s="94" t="str">
        <x:v>Real finale flow, replay navigation, and durable completion receipt.</x:v>
      </x:c>
      <x:c r="G6" s="94" t="str">
        <x:v>DONE</x:v>
      </x:c>
    </x:row>
    <x:row r="7" ht="46" customHeight="1">
      <x:c r="A7" s="95" t="str">
        <x:v>audit:semantic-capabilities:check</x:v>
      </x:c>
      <x:c r="B7" s="95" t="str">
        <x:v>Twenty-two entrypoints by ten player-facing capability families</x:v>
      </x:c>
      <x:c r="C7" s="95" t="str">
        <x:v>REQUIRED is a contract, not a live browser PASS</x:v>
      </x:c>
      <x:c r="D7" s="95" t="str">
        <x:v>Explicit</x:v>
      </x:c>
      <x:c r="E7" s="95" t="str">
        <x:v>The report retains 49 DEBT, 2 KNOWN FAILURE, and 2 UNKNOWN cells instead of hiding them in a raw test total.</x:v>
      </x:c>
      <x:c r="F7" s="95" t="str">
        <x:v>Generated capability matrix with blocker-preserving status aggregation.</x:v>
      </x:c>
      <x:c r="G7" s="95" t="str">
        <x:v>DONE</x:v>
      </x:c>
    </x:row>
    <x:row r="8" ht="46" customHeight="1">
      <x:c r="A8" s="94" t="str">
        <x:v>check:reachability</x:v>
      </x:c>
      <x:c r="B8" s="94" t="str">
        <x:v>Every playable campaign beat has explicit dialogue reachability disposition</x:v>
      </x:c>
      <x:c r="C8" s="94" t="str">
        <x:v>Owner listening remains necessary for performance quality</x:v>
      </x:c>
      <x:c r="D8" s="94" t="str">
        <x:v>Low</x:v>
      </x:c>
      <x:c r="E8" s="94" t="str">
        <x:v>Unresolved templates remain UNKNOWN and intentional silence is named.</x:v>
      </x:c>
      <x:c r="F8" s="94" t="str">
        <x:v>Thirty-one-beat honesty ledger plus cue dispatch and transition checks.</x:v>
      </x:c>
      <x:c r="G8" s="94" t="str">
        <x:v>DONE</x:v>
      </x:c>
    </x:row>
    <x:row r="9" ht="46" customHeight="1">
      <x:c r="A9" s="95" t="str">
        <x:v>check:line-presence</x:v>
      </x:c>
      <x:c r="B9" s="95" t="str">
        <x:v>A started world line records its real speaker body, distance, visibility, and facing</x:v>
      </x:c>
      <x:c r="C9" s="95" t="str">
        <x:v>It does not judge acting quality</x:v>
      </x:c>
      <x:c r="D9" s="95" t="str">
        <x:v>Low</x:v>
      </x:c>
      <x:c r="E9" s="95" t="str">
        <x:v>A cast-map-only match can no longer substitute for runtime speaker evidence.</x:v>
      </x:c>
      <x:c r="F9" s="95" t="str">
        <x:v>Audio playback receipts carry speaker/body/spatial facts.</x:v>
      </x:c>
      <x:c r="G9" s="95" t="str">
        <x:v>DONE</x:v>
      </x:c>
    </x:row>
    <x:row r="10" ht="46" customHeight="1">
      <x:c r="A10" s="94" t="str">
        <x:v>verify:dialogue:check</x:v>
      </x:c>
      <x:c r="B10" s="94" t="str">
        <x:v>Required cues are classified by playable-beat reachability rather than five handpicked scenes</x:v>
      </x:c>
      <x:c r="C10" s="94" t="str">
        <x:v>Full human listening is still a separate owner review</x:v>
      </x:c>
      <x:c r="D10" s="94" t="str">
        <x:v>Low</x:v>
      </x:c>
      <x:c r="E10" s="94" t="str">
        <x:v>Dynamic and intentional-N/A paths cannot silently count as green.</x:v>
      </x:c>
      <x:c r="F10" s="94" t="str">
        <x:v>Campaign-wide reachability evaluator and generated ledger.</x:v>
      </x:c>
      <x:c r="G10" s="94" t="str">
        <x:v>DONE</x:v>
      </x:c>
    </x:row>
    <x:row r="11" ht="46" customHeight="1">
      <x:c r="A11" s="95" t="str">
        <x:v>audit:rendered-voices:check</x:v>
      </x:c>
      <x:c r="B11" s="95" t="str">
        <x:v>Rendered receipts use the complete authored playable denominator</x:v>
      </x:c>
      <x:c r="C11" s="95" t="str">
        <x:v>One optional post-campaign refusal remains unrecorded</x:v>
      </x:c>
      <x:c r="D11" s="95" t="str">
        <x:v>Explicit</x:v>
      </x:c>
      <x:c r="E11" s="95" t="str">
        <x:v>The denominator includes missing, rerecord, and recast queues.</x:v>
      </x:c>
      <x:c r="F11" s="95" t="str">
        <x:v>Schema-v2 denominator with delivered and outstanding union.</x:v>
      </x:c>
      <x:c r="G11" s="95" t="str">
        <x:v>DONE</x:v>
      </x:c>
    </x:row>
    <x:row r="12" ht="46" customHeight="1">
      <x:c r="A12" s="94" t="str">
        <x:v>audit:radio-content:check</x:v>
      </x:c>
      <x:c r="B12" s="94" t="str">
        <x:v>Beat/receiver programs and exact active-play receipts share one manifest</x:v>
      </x:c>
      <x:c r="C12" s="94" t="str">
        <x:v>Owner listening still judges comedy and mix</x:v>
      </x:c>
      <x:c r="D12" s="94" t="str">
        <x:v>Low</x:v>
      </x:c>
      <x:c r="E12" s="94" t="str">
        <x:v>Thirty-one beat policies, eight physical receivers, and thirteen resumable programs are enumerated.</x:v>
      </x:c>
      <x:c r="F12" s="94" t="str">
        <x:v>Manifest-generated workbook rows and named browser receipts.</x:v>
      </x:c>
      <x:c r="G12" s="94" t="str">
        <x:v>DONE</x:v>
      </x:c>
    </x:row>
    <x:row r="13" ht="46" customHeight="1">
      <x:c r="A13" s="95" t="str">
        <x:v>audit:radio-loudness:check</x:v>
      </x:c>
      <x:c r="B13" s="95" t="str">
        <x:v>Masters retain loudness/hash evidence and bounded edits declare exact successors</x:v>
      </x:c>
      <x:c r="C13" s="95" t="str">
        <x:v>It cannot judge taste</x:v>
      </x:c>
      <x:c r="D13" s="95" t="str">
        <x:v>Low</x:v>
      </x:c>
      <x:c r="E13" s="95" t="str">
        <x:v>Nehoo cuts after fifteen seconds and transitions to the jerky ad under browser proof.</x:v>
      </x:c>
      <x:c r="F13" s="95" t="str">
        <x:v>Explicit afterCut policy plus ordered playback receipt.</x:v>
      </x:c>
      <x:c r="G13" s="95" t="str">
        <x:v>DONE</x:v>
      </x:c>
    </x:row>
    <x:row r="14" ht="46" customHeight="1">
      <x:c r="A14" s="101" t="str">
        <x:v>radio audit generator</x:v>
      </x:c>
      <x:c r="B14" s="101" t="str">
        <x:v>Workbook authority is generated from live beat, receiver, program, and block manifests</x:v>
      </x:c>
      <x:c r="C14" s="101" t="str">
        <x:v>Curated editorial notes remain intentionally separate</x:v>
      </x:c>
      <x:c r="D14" s="101" t="str">
        <x:v>Low</x:v>
      </x:c>
      <x:c r="E14" s="101" t="str">
        <x:v>Runtime changes now make the generated Live Radio Manifest drift.</x:v>
      </x:c>
      <x:c r="F14" s="101" t="str">
        <x:v>Live manifest adapter, generator check, and workbook sheet.</x:v>
      </x:c>
      <x:c r="G14" s="101" t="str">
        <x:v>DONE</x:v>
      </x:c>
    </x:row>
  </x:sheetData>
  <x:mergeCells>
    <x:mergeCell ref="A1:G1"/>
    <x:mergeCell ref="A2:G2"/>
  </x:mergeCells>
  <x:conditionalFormatting sqref="G5:G14">
    <x:cfRule type="containsText" dxfId="204" priority="1" operator="containsText" text="P0"/>
    <x:cfRule type="containsText" dxfId="205" priority="2" operator="containsText" text="FAIL"/>
    <x:cfRule type="containsText" dxfId="206" priority="3" operator="containsText" text="BROKEN"/>
    <x:cfRule type="containsText" dxfId="207" priority="4" operator="containsText" text="MISSING"/>
    <x:cfRule type="containsText" dxfId="208" priority="5" operator="containsText" text="DEBT"/>
    <x:cfRule type="containsText" dxfId="209" priority="6" operator="containsText" text="P1"/>
    <x:cfRule type="containsText" dxfId="210" priority="7" operator="containsText" text="OWNER"/>
    <x:cfRule type="containsText" dxfId="211" priority="8" operator="containsText" text="RERECORD"/>
    <x:cfRule type="containsText" dxfId="212" priority="9" operator="containsText" text="PARTIAL"/>
    <x:cfRule type="containsText" dxfId="213" priority="10" operator="containsText" text="P2"/>
    <x:cfRule type="containsText" dxfId="214" priority="11" operator="containsText" text="CONNECTED"/>
    <x:cfRule type="containsText" dxfId="215" priority="12" operator="containsText" text="PASS"/>
    <x:cfRule type="containsText" dxfId="216" priority="13" operator="containsText" text="KEEP"/>
    <x:cfRule type="containsText" dxfId="217" priority="14" operator="containsText" text="EXISTING"/>
    <x:cfRule type="containsText" dxfId="218" priority="15" operator="containsText" text="P3"/>
    <x:cfRule type="containsText" dxfId="219" priority="16" operator="containsText" text="FROZEN"/>
    <x:cfRule type="containsText" dxfId="220" priority="17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a03529cc4b8947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48" hidden="0" customWidth="1"/>
    <x:col min="4" max="4" width="14" hidden="0" customWidth="1"/>
    <x:col min="5" max="5" width="14" hidden="0" customWidth="1"/>
    <x:col min="6" max="6" width="35" hidden="0" customWidth="1"/>
    <x:col min="7" max="7" width="34" hidden="0" customWidth="1"/>
    <x:col min="8" max="8" width="32" hidden="0" customWidth="1"/>
    <x:col min="9" max="9" width="38" hidden="0" customWidth="1"/>
    <x:col min="10" max="10" width="19" hidden="0" customWidth="1"/>
  </x:cols>
  <x:sheetData>
    <x:row r="1" ht="32" customHeight="1">
      <x:c r="A1" s="136" t="str">
        <x:v>REMEDIATION · PRIORITIZED IMPLEMENTATION ORDER</x:v>
      </x:c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 ht="34" customHeight="1">
      <x:c r="A2" s="7" t="str">
        <x:v>P0 stops false completion and final-act gaps. P1 creates deterministic media architecture. P2 enforces it. P3 adds polish only after the systemic work.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37"/>
      <x:c r="B3" s="137"/>
      <x:c r="C3" s="137"/>
      <x:c r="D3" s="137"/>
      <x:c r="E3" s="137"/>
      <x:c r="F3" s="137"/>
      <x:c r="G3" s="137"/>
      <x:c r="H3" s="137"/>
      <x:c r="I3" s="137"/>
      <x:c r="J3" s="137"/>
    </x:row>
    <x:row r="4" ht="34" customHeight="1">
      <x:c r="A4" s="105" t="str">
        <x:v>Priority</x:v>
      </x:c>
      <x:c r="B4" s="105" t="str">
        <x:v>Order</x:v>
      </x:c>
      <x:c r="C4" s="105" t="str">
        <x:v>Recommendation</x:v>
      </x:c>
      <x:c r="D4" s="105" t="str">
        <x:v>Effort</x:v>
      </x:c>
      <x:c r="E4" s="105" t="str">
        <x:v>Risk</x:v>
      </x:c>
      <x:c r="F4" s="105" t="str">
        <x:v>Expected bug reduction</x:v>
      </x:c>
      <x:c r="G4" s="105" t="str">
        <x:v>Systems affected</x:v>
      </x:c>
      <x:c r="H4" s="105" t="str">
        <x:v>Scenes affected</x:v>
      </x:c>
      <x:c r="I4" s="105" t="str">
        <x:v>Dependencies</x:v>
      </x:c>
      <x:c r="J4" s="105" t="str">
        <x:v>Status</x:v>
      </x:c>
    </x:row>
    <x:row r="5" ht="46" customHeight="1">
      <x:c r="A5" s="93" t="str">
        <x:v>P0</x:v>
      </x:c>
      <x:c r="B5" s="114" t="n">
        <x:v>1</x:v>
      </x:c>
      <x:c r="C5" s="93" t="str">
        <x:v>Deliver six Margo-call recordings</x:v>
      </x:c>
      <x:c r="D5" s="93" t="str">
        <x:v>Medium</x:v>
      </x:c>
      <x:c r="E5" s="93" t="str">
        <x:v>Low</x:v>
      </x:c>
      <x:c r="F5" s="93" t="str">
        <x:v>Eliminates a campaign-critical performance gap</x:v>
      </x:c>
      <x:c r="G5" s="93" t="str">
        <x:v>Dialogue / VO / Cabin</x:v>
      </x:c>
      <x:c r="H5" s="93" t="str">
        <x:v>Cabin I</x:v>
      </x:c>
      <x:c r="I5" s="93" t="str">
        <x:v>Voice IDs and final copy</x:v>
      </x:c>
      <x:c r="J5" s="93" t="str">
        <x:v>DONE</x:v>
      </x:c>
    </x:row>
    <x:row r="6" ht="46" customHeight="1">
      <x:c r="A6" s="94" t="str">
        <x:v>P0</x:v>
      </x:c>
      <x:c r="B6" s="115" t="n">
        <x:v>2</x:v>
      </x:c>
      <x:c r="C6" s="94" t="str">
        <x:v>Restore complete Special Meeting home prelude in Luxury</x:v>
      </x:c>
      <x:c r="D6" s="94" t="str">
        <x:v>Large</x:v>
      </x:c>
      <x:c r="E6" s="94" t="str">
        <x:v>Medium</x:v>
      </x:c>
      <x:c r="F6" s="94" t="str">
        <x:v>Restores seven authored banks and final-act pacing</x:v>
      </x:c>
      <x:c r="G6" s="94" t="str">
        <x:v>Campaign state / apartment story / luxury hub</x:v>
      </x:c>
      <x:c r="H6" s="94" t="str">
        <x:v>Beat 27</x:v>
      </x:c>
      <x:c r="I6" s="94" t="str">
        <x:v>Shared home-prelude adapter and migration rule</x:v>
      </x:c>
      <x:c r="J6" s="94" t="str">
        <x:v>DONE</x:v>
      </x:c>
    </x:row>
    <x:row r="7" ht="46" customHeight="1">
      <x:c r="A7" s="95" t="str">
        <x:v>P0</x:v>
      </x:c>
      <x:c r="B7" s="116" t="n">
        <x:v>3</x:v>
      </x:c>
      <x:c r="C7" s="95" t="str">
        <x:v>Choose and certify the post-Initiation epilogue home</x:v>
      </x:c>
      <x:c r="D7" s="95" t="str">
        <x:v>Medium</x:v>
      </x:c>
      <x:c r="E7" s="95" t="str">
        <x:v>Medium</x:v>
      </x:c>
      <x:c r="F7" s="95" t="str">
        <x:v>Removes final navigation ambiguity and reload risk</x:v>
      </x:c>
      <x:c r="G7" s="95" t="str">
        <x:v>Campaign navigation / save</x:v>
      </x:c>
      <x:c r="H7" s="95" t="str">
        <x:v>Beat 29 + chosen home</x:v>
      </x:c>
      <x:c r="I7" s="95" t="str">
        <x:v>Owner choice: starter bookend or luxury</x:v>
      </x:c>
      <x:c r="J7" s="95" t="str">
        <x:v>DONE</x:v>
      </x:c>
    </x:row>
    <x:row r="8" ht="46" customHeight="1">
      <x:c r="A8" s="94" t="str">
        <x:v>P0</x:v>
      </x:c>
      <x:c r="B8" s="115" t="n">
        <x:v>4</x:v>
      </x:c>
      <x:c r="C8" s="94" t="str">
        <x:v>Fix Nehoo 15s cut with explicit afterCut target</x:v>
      </x:c>
      <x:c r="D8" s="94" t="str">
        <x:v>Small</x:v>
      </x:c>
      <x:c r="E8" s="94" t="str">
        <x:v>Low</x:v>
      </x:c>
      <x:c r="F8" s="94" t="str">
        <x:v>Eliminates a visible recurring radio gag failure</x:v>
      </x:c>
      <x:c r="G8" s="94" t="str">
        <x:v>Radio / music edit policy</x:v>
      </x:c>
      <x:c r="H8" s="94" t="str">
        <x:v>Golf, Cabin, Luxury, generic 97.8</x:v>
      </x:c>
      <x:c r="I8" s="94" t="str">
        <x:v>Owner choice: dedicated ad vs notice</x:v>
      </x:c>
      <x:c r="J8" s="94" t="str">
        <x:v>DONE</x:v>
      </x:c>
    </x:row>
    <x:row r="9" ht="46" customHeight="1">
      <x:c r="A9" s="95" t="str">
        <x:v>P0</x:v>
      </x:c>
      <x:c r="B9" s="116" t="n">
        <x:v>5</x:v>
      </x:c>
      <x:c r="C9" s="95" t="str">
        <x:v>Add real playback receipts for radio entry packets</x:v>
      </x:c>
      <x:c r="D9" s="95" t="str">
        <x:v>Large</x:v>
      </x:c>
      <x:c r="E9" s="95" t="str">
        <x:v>Low</x:v>
      </x:c>
      <x:c r="F9" s="95" t="str">
        <x:v>Turns content presence into campaign reachability proof</x:v>
      </x:c>
      <x:c r="G9" s="95" t="str">
        <x:v>QA / radio / browser</x:v>
      </x:c>
      <x:c r="H9" s="95" t="str">
        <x:v>All radio-equipped beats</x:v>
      </x:c>
      <x:c r="I9" s="95" t="str">
        <x:v>RadioProgram manifest</x:v>
      </x:c>
      <x:c r="J9" s="95" t="str">
        <x:v>DONE</x:v>
      </x:c>
    </x:row>
    <x:row r="10" ht="46" customHeight="1">
      <x:c r="A10" s="94" t="str">
        <x:v>P1</x:v>
      </x:c>
      <x:c r="B10" s="115" t="n">
        <x:v>6</x:v>
      </x:c>
      <x:c r="C10" s="94" t="str">
        <x:v>Add beat/receiver keyed RadioProgram manifest</x:v>
      </x:c>
      <x:c r="D10" s="94" t="str">
        <x:v>Large</x:v>
      </x:c>
      <x:c r="E10" s="94" t="str">
        <x:v>Medium</x:v>
      </x:c>
      <x:c r="F10" s="94" t="str">
        <x:v>Enables deterministic five-minute scene programming</x:v>
      </x:c>
      <x:c r="G10" s="94" t="str">
        <x:v>Radio / campaign state</x:v>
      </x:c>
      <x:c r="H10" s="94" t="str">
        <x:v>All hubs and receivers</x:v>
      </x:c>
      <x:c r="I10" s="94" t="str">
        <x:v>Program schema and migration of global cursor</x:v>
      </x:c>
      <x:c r="J10" s="94" t="str">
        <x:v>DONE</x:v>
      </x:c>
    </x:row>
    <x:row r="11" ht="46" customHeight="1">
      <x:c r="A11" s="95" t="str">
        <x:v>P1</x:v>
      </x:c>
      <x:c r="B11" s="116" t="n">
        <x:v>7</x:v>
      </x:c>
      <x:c r="C11" s="95" t="str">
        <x:v>Persist stable song IDs per playlist</x:v>
      </x:c>
      <x:c r="D11" s="95" t="str">
        <x:v>Medium</x:v>
      </x:c>
      <x:c r="E11" s="95" t="str">
        <x:v>Medium</x:v>
      </x:c>
      <x:c r="F11" s="95" t="str">
        <x:v>Stops repeats/skips across filtered receiver pools</x:v>
      </x:c>
      <x:c r="G11" s="95" t="str">
        <x:v>Radio / save state</x:v>
      </x:c>
      <x:c r="H11" s="95" t="str">
        <x:v>Apartment, Cabin, Golf, Luxury, Mansion, Beef</x:v>
      </x:c>
      <x:c r="I11" s="95" t="str">
        <x:v>RadioProgram manifest</x:v>
      </x:c>
      <x:c r="J11" s="95" t="str">
        <x:v>DONE</x:v>
      </x:c>
    </x:row>
    <x:row r="12" ht="46" customHeight="1">
      <x:c r="A12" s="94" t="str">
        <x:v>P1</x:v>
      </x:c>
      <x:c r="B12" s="115" t="n">
        <x:v>8</x:v>
      </x:c>
      <x:c r="C12" s="94" t="str">
        <x:v>Sequence ident before show intro</x:v>
      </x:c>
      <x:c r="D12" s="94" t="str">
        <x:v>Small</x:v>
      </x:c>
      <x:c r="E12" s="94" t="str">
        <x:v>Low</x:v>
      </x:c>
      <x:c r="F12" s="94" t="str">
        <x:v>Removes immediate tune-in overlap</x:v>
      </x:c>
      <x:c r="G12" s="94" t="str">
        <x:v>Radio audio lifecycle</x:v>
      </x:c>
      <x:c r="H12" s="94" t="str">
        <x:v>Every receiver</x:v>
      </x:c>
      <x:c r="I12" s="94" t="str">
        <x:v>None</x:v>
      </x:c>
      <x:c r="J12" s="94" t="str">
        <x:v>DONE</x:v>
      </x:c>
    </x:row>
    <x:row r="13" ht="46" customHeight="1">
      <x:c r="A13" s="95" t="str">
        <x:v>P1</x:v>
      </x:c>
      <x:c r="B13" s="116" t="n">
        <x:v>9</x:v>
      </x:c>
      <x:c r="C13" s="95" t="str">
        <x:v>Shorten/split the 131-second station promo</x:v>
      </x:c>
      <x:c r="D13" s="95" t="str">
        <x:v>Small</x:v>
      </x:c>
      <x:c r="E13" s="95" t="str">
        <x:v>Low</x:v>
      </x:c>
      <x:c r="F13" s="95" t="str">
        <x:v>Returns almost two minutes to the first five-minute window</x:v>
      </x:c>
      <x:c r="G13" s="95" t="str">
        <x:v>Radio ads / editing</x:v>
      </x:c>
      <x:c r="H13" s="95" t="str">
        <x:v>Every receiver</x:v>
      </x:c>
      <x:c r="I13" s="95" t="str">
        <x:v>Approved ad edit</x:v>
      </x:c>
      <x:c r="J13" s="95" t="str">
        <x:v>DONE</x:v>
      </x:c>
    </x:row>
    <x:row r="14" ht="46" customHeight="1">
      <x:c r="A14" s="94" t="str">
        <x:v>P1</x:v>
      </x:c>
      <x:c r="B14" s="115" t="n">
        <x:v>10</x:v>
      </x:c>
      <x:c r="C14" s="94" t="str">
        <x:v>Declare campaign-news policy for every physical receiver</x:v>
      </x:c>
      <x:c r="D14" s="94" t="str">
        <x:v>Medium</x:v>
      </x:c>
      <x:c r="E14" s="94" t="str">
        <x:v>Low</x:v>
      </x:c>
      <x:c r="F14" s="94" t="str">
        <x:v>Eliminates accidental wiring drift</x:v>
      </x:c>
      <x:c r="G14" s="94" t="str">
        <x:v>Radio / scene contract</x:v>
      </x:c>
      <x:c r="H14" s="94" t="str">
        <x:v>All receiver scenes</x:v>
      </x:c>
      <x:c r="I14" s="94" t="str">
        <x:v>RadioProgram manifest</x:v>
      </x:c>
      <x:c r="J14" s="94" t="str">
        <x:v>DONE</x:v>
      </x:c>
    </x:row>
    <x:row r="15" ht="46" customHeight="1">
      <x:c r="A15" s="95" t="str">
        <x:v>P1</x:v>
      </x:c>
      <x:c r="B15" s="116" t="n">
        <x:v>11</x:v>
      </x:c>
      <x:c r="C15" s="95" t="str">
        <x:v>Wire the authored two-second Special Meeting announcer gag</x:v>
      </x:c>
      <x:c r="D15" s="95" t="str">
        <x:v>Small</x:v>
      </x:c>
      <x:c r="E15" s="95" t="str">
        <x:v>Low</x:v>
      </x:c>
      <x:c r="F15" s="95" t="str">
        <x:v>Restores a scripted continuity beat before optional ride music</x:v>
      </x:c>
      <x:c r="G15" s="95" t="str">
        <x:v>Special Meeting audio / travel state</x:v>
      </x:c>
      <x:c r="H15" s="95" t="str">
        <x:v>Beat 28 pickup and ride</x:v>
      </x:c>
      <x:c r="I15" s="95" t="str">
        <x:v>Implement Lag's radio-on action and exact 2s start/stop receipt before adding other car music</x:v>
      </x:c>
      <x:c r="J15" s="95" t="str">
        <x:v>DONE</x:v>
      </x:c>
    </x:row>
    <x:row r="16" ht="46" customHeight="1">
      <x:c r="A16" s="94" t="str">
        <x:v>P1</x:v>
      </x:c>
      <x:c r="B16" s="115" t="n">
        <x:v>12</x:v>
      </x:c>
      <x:c r="C16" s="94" t="str">
        <x:v>Deliver and wire initiation.cabin.music</x:v>
      </x:c>
      <x:c r="D16" s="94" t="str">
        <x:v>Medium</x:v>
      </x:c>
      <x:c r="E16" s="94" t="str">
        <x:v>Low</x:v>
      </x:c>
      <x:c r="F16" s="94" t="str">
        <x:v>Restores required exterior atmosphere without masking the ceremony</x:v>
      </x:c>
      <x:c r="G16" s="94" t="str">
        <x:v>Initiation ambience / music manifest</x:v>
      </x:c>
      <x:c r="H16" s="94" t="str">
        <x:v>Beat 29 exterior</x:v>
      </x:c>
      <x:c r="I16" s="94" t="str">
        <x:v>Owner-approved slow old-cabin bed identity; fade before oath and remain silent through oath/end</x:v>
      </x:c>
      <x:c r="J16" s="94" t="str">
        <x:v>DONE</x:v>
      </x:c>
    </x:row>
    <x:row r="17" ht="46" customHeight="1">
      <x:c r="A17" s="95" t="str">
        <x:v>P1</x:v>
      </x:c>
      <x:c r="B17" s="116" t="n">
        <x:v>13</x:v>
      </x:c>
      <x:c r="C17" s="95" t="str">
        <x:v>Rewrite P1 dialogue hotspots</x:v>
      </x:c>
      <x:c r="D17" s="95" t="str">
        <x:v>Large</x:v>
      </x:c>
      <x:c r="E17" s="95" t="str">
        <x:v>Medium</x:v>
      </x:c>
      <x:c r="F17" s="95" t="str">
        <x:v>Improves character voice without rewriting strong scenes</x:v>
      </x:c>
      <x:c r="G17" s="95" t="str">
        <x:v>Dialogue / subtitles / VO</x:v>
      </x:c>
      <x:c r="H17" s="95" t="str">
        <x:v>Squatchfather, Bing, THE TAKE, Motel, Beef, Silent Squatch</x:v>
      </x:c>
      <x:c r="I17" s="95" t="str">
        <x:v>Locked copy and rerecord plan</x:v>
      </x:c>
      <x:c r="J17" s="95" t="str">
        <x:v>NOT REQUESTED</x:v>
      </x:c>
    </x:row>
    <x:row r="18" ht="46" customHeight="1">
      <x:c r="A18" s="94" t="str">
        <x:v>P1</x:v>
      </x:c>
      <x:c r="B18" s="115" t="n">
        <x:v>14</x:v>
      </x:c>
      <x:c r="C18" s="94" t="str">
        <x:v>Expand dialogue reachability to every playable beat</x:v>
      </x:c>
      <x:c r="D18" s="94" t="str">
        <x:v>Large</x:v>
      </x:c>
      <x:c r="E18" s="94" t="str">
        <x:v>Low</x:v>
      </x:c>
      <x:c r="F18" s="94" t="str">
        <x:v>Catches wrong speaker, inaudible line, and cut-off transition</x:v>
      </x:c>
      <x:c r="G18" s="94" t="str">
        <x:v>QA / dialogue / staging</x:v>
      </x:c>
      <x:c r="H18" s="94" t="str">
        <x:v>Campaign-wide</x:v>
      </x:c>
      <x:c r="I18" s="94" t="str">
        <x:v>Golden-path browser flows</x:v>
      </x:c>
      <x:c r="J18" s="94" t="str">
        <x:v>DONE</x:v>
      </x:c>
    </x:row>
    <x:row r="19" ht="46" customHeight="1">
      <x:c r="A19" s="95" t="str">
        <x:v>P2</x:v>
      </x:c>
      <x:c r="B19" s="116" t="n">
        <x:v>15</x:v>
      </x:c>
      <x:c r="C19" s="95" t="str">
        <x:v>Generate secondary route documents from CAMPAIGN_SPINE</x:v>
      </x:c>
      <x:c r="D19" s="95" t="str">
        <x:v>Medium</x:v>
      </x:c>
      <x:c r="E19" s="95" t="str">
        <x:v>Low</x:v>
      </x:c>
      <x:c r="F19" s="95" t="str">
        <x:v>Prevents contradictory current-looking docs</x:v>
      </x:c>
      <x:c r="G19" s="95" t="str">
        <x:v>Documentation / campaign</x:v>
      </x:c>
      <x:c r="H19" s="95" t="str">
        <x:v>Campaign-wide</x:v>
      </x:c>
      <x:c r="I19" s="95" t="str">
        <x:v>One canonical export</x:v>
      </x:c>
      <x:c r="J19" s="95" t="str">
        <x:v>DONE</x:v>
      </x:c>
    </x:row>
    <x:row r="20" ht="46" customHeight="1">
      <x:c r="A20" s="94" t="str">
        <x:v>P2</x:v>
      </x:c>
      <x:c r="B20" s="115" t="n">
        <x:v>16</x:v>
      </x:c>
      <x:c r="C20" s="94" t="str">
        <x:v>Generate radio workbook from the future program manifest</x:v>
      </x:c>
      <x:c r="D20" s="94" t="str">
        <x:v>Medium</x:v>
      </x:c>
      <x:c r="E20" s="94" t="str">
        <x:v>Low</x:v>
      </x:c>
      <x:c r="F20" s="94" t="str">
        <x:v>Makes the production sheet enforceable instead of hand-maintained</x:v>
      </x:c>
      <x:c r="G20" s="94" t="str">
        <x:v>QA / documentation / radio</x:v>
      </x:c>
      <x:c r="H20" s="94" t="str">
        <x:v>Campaign-wide</x:v>
      </x:c>
      <x:c r="I20" s="94" t="str">
        <x:v>RadioProgram manifest</x:v>
      </x:c>
      <x:c r="J20" s="94" t="str">
        <x:v>DONE</x:v>
      </x:c>
    </x:row>
    <x:row r="21" ht="46" customHeight="1">
      <x:c r="A21" s="95" t="str">
        <x:v>P2</x:v>
      </x:c>
      <x:c r="B21" s="116" t="n">
        <x:v>17</x:v>
      </x:c>
      <x:c r="C21" s="95" t="str">
        <x:v>Add runtime speaker/body/distance/orientation receipts</x:v>
      </x:c>
      <x:c r="D21" s="95" t="str">
        <x:v>Large</x:v>
      </x:c>
      <x:c r="E21" s="95" t="str">
        <x:v>Medium</x:v>
      </x:c>
      <x:c r="F21" s="95" t="str">
        <x:v>Eliminates false-positive cast-map coverage</x:v>
      </x:c>
      <x:c r="G21" s="95" t="str">
        <x:v>Dialogue / staging / audio</x:v>
      </x:c>
      <x:c r="H21" s="95" t="str">
        <x:v>Campaign-wide</x:v>
      </x:c>
      <x:c r="I21" s="95" t="str">
        <x:v>Browser instrumentation</x:v>
      </x:c>
      <x:c r="J21" s="95" t="str">
        <x:v>DONE</x:v>
      </x:c>
    </x:row>
    <x:row r="22" ht="46" customHeight="1">
      <x:c r="A22" s="94" t="str">
        <x:v>P2</x:v>
      </x:c>
      <x:c r="B22" s="115" t="n">
        <x:v>18</x:v>
      </x:c>
      <x:c r="C22" s="94" t="str">
        <x:v>Correct Graveyard and Enola tone mismatches</x:v>
      </x:c>
      <x:c r="D22" s="94" t="str">
        <x:v>Small</x:v>
      </x:c>
      <x:c r="E22" s="94" t="str">
        <x:v>Low</x:v>
      </x:c>
      <x:c r="F22" s="94" t="str">
        <x:v>Removes two conspicuous tonal misses</x:v>
      </x:c>
      <x:c r="G22" s="94" t="str">
        <x:v>Dialogue / VO</x:v>
      </x:c>
      <x:c r="H22" s="94" t="str">
        <x:v>Graveyard, Enola</x:v>
      </x:c>
      <x:c r="I22" s="94" t="str">
        <x:v>Copy approval and rerecord</x:v>
      </x:c>
      <x:c r="J22" s="94" t="str">
        <x:v>NOT REQUESTED</x:v>
      </x:c>
    </x:row>
    <x:row r="23" ht="46" customHeight="1">
      <x:c r="A23" s="95" t="str">
        <x:v>P3</x:v>
      </x:c>
      <x:c r="B23" s="116" t="n">
        <x:v>19</x:v>
      </x:c>
      <x:c r="C23" s="95" t="str">
        <x:v>Add phase-conditioned hub props/news/callbacks</x:v>
      </x:c>
      <x:c r="D23" s="95" t="str">
        <x:v>Large</x:v>
      </x:c>
      <x:c r="E23" s="95" t="str">
        <x:v>Low</x:v>
      </x:c>
      <x:c r="F23" s="95" t="str">
        <x:v>Improves repeat-visit detail after systemic gaps close</x:v>
      </x:c>
      <x:c r="G23" s="95" t="str">
        <x:v>Environment / hubs / narrative</x:v>
      </x:c>
      <x:c r="H23" s="95" t="str">
        <x:v>Apartment, Cabin, Luxury, Mansion</x:v>
      </x:c>
      <x:c r="I23" s="95" t="str">
        <x:v>P0/P1 systems complete</x:v>
      </x:c>
      <x:c r="J23" s="95" t="str">
        <x:v>DONE</x:v>
      </x:c>
    </x:row>
    <x:row r="24" ht="46" customHeight="1">
      <x:c r="A24" s="101" t="str">
        <x:v>P3</x:v>
      </x:c>
      <x:c r="B24" s="135" t="n">
        <x:v>20</x:v>
      </x:c>
      <x:c r="C24" s="101" t="str">
        <x:v>Add carefully ducked arrival music to selected silent transitions</x:v>
      </x:c>
      <x:c r="D24" s="101" t="str">
        <x:v>Medium</x:v>
      </x:c>
      <x:c r="E24" s="101" t="str">
        <x:v>Low</x:v>
      </x:c>
      <x:c r="F24" s="101" t="str">
        <x:v>Adds texture without masking stronger dialogue</x:v>
      </x:c>
      <x:c r="G24" s="101" t="str">
        <x:v>Music / transitions</x:v>
      </x:c>
      <x:c r="H24" s="101" t="str">
        <x:v>Graveyard car, Silver Case pickup, Palace</x:v>
      </x:c>
      <x:c r="I24" s="101" t="str">
        <x:v>Playthrough proof</x:v>
      </x:c>
      <x:c r="J24" s="101" t="str">
        <x:v>DONE</x:v>
      </x:c>
    </x:row>
  </x:sheetData>
  <x:mergeCells>
    <x:mergeCell ref="A1:J1"/>
    <x:mergeCell ref="A2:J2"/>
  </x:mergeCells>
  <x:conditionalFormatting sqref="A5:A24">
    <x:cfRule type="containsText" dxfId="221" priority="1" operator="containsText" text="P0"/>
    <x:cfRule type="containsText" dxfId="222" priority="2" operator="containsText" text="FAIL"/>
    <x:cfRule type="containsText" dxfId="223" priority="3" operator="containsText" text="BROKEN"/>
    <x:cfRule type="containsText" dxfId="224" priority="4" operator="containsText" text="MISSING"/>
    <x:cfRule type="containsText" dxfId="225" priority="5" operator="containsText" text="DEBT"/>
    <x:cfRule type="containsText" dxfId="226" priority="6" operator="containsText" text="P1"/>
    <x:cfRule type="containsText" dxfId="227" priority="7" operator="containsText" text="OWNER"/>
    <x:cfRule type="containsText" dxfId="228" priority="8" operator="containsText" text="RERECORD"/>
    <x:cfRule type="containsText" dxfId="229" priority="9" operator="containsText" text="PARTIAL"/>
    <x:cfRule type="containsText" dxfId="230" priority="10" operator="containsText" text="P2"/>
    <x:cfRule type="containsText" dxfId="231" priority="11" operator="containsText" text="CONNECTED"/>
    <x:cfRule type="containsText" dxfId="232" priority="12" operator="containsText" text="PASS"/>
    <x:cfRule type="containsText" dxfId="233" priority="13" operator="containsText" text="KEEP"/>
    <x:cfRule type="containsText" dxfId="234" priority="14" operator="containsText" text="EXISTING"/>
    <x:cfRule type="containsText" dxfId="235" priority="15" operator="containsText" text="P3"/>
    <x:cfRule type="containsText" dxfId="236" priority="16" operator="containsText" text="FROZEN"/>
    <x:cfRule type="containsText" dxfId="237" priority="17" operator="containsText" text="NEW"/>
  </x:conditionalFormatting>
  <x:conditionalFormatting sqref="J5:J24">
    <x:cfRule type="containsText" dxfId="238" priority="18" operator="containsText" text="P0"/>
    <x:cfRule type="containsText" dxfId="239" priority="19" operator="containsText" text="FAIL"/>
    <x:cfRule type="containsText" dxfId="240" priority="20" operator="containsText" text="BROKEN"/>
    <x:cfRule type="containsText" dxfId="241" priority="21" operator="containsText" text="MISSING"/>
    <x:cfRule type="containsText" dxfId="242" priority="22" operator="containsText" text="DEBT"/>
    <x:cfRule type="containsText" dxfId="243" priority="23" operator="containsText" text="P1"/>
    <x:cfRule type="containsText" dxfId="244" priority="24" operator="containsText" text="OWNER"/>
    <x:cfRule type="containsText" dxfId="245" priority="25" operator="containsText" text="RERECORD"/>
    <x:cfRule type="containsText" dxfId="246" priority="26" operator="containsText" text="PARTIAL"/>
    <x:cfRule type="containsText" dxfId="247" priority="27" operator="containsText" text="P2"/>
    <x:cfRule type="containsText" dxfId="248" priority="28" operator="containsText" text="CONNECTED"/>
    <x:cfRule type="containsText" dxfId="249" priority="29" operator="containsText" text="PASS"/>
    <x:cfRule type="containsText" dxfId="250" priority="30" operator="containsText" text="KEEP"/>
    <x:cfRule type="containsText" dxfId="251" priority="31" operator="containsText" text="EXISTING"/>
    <x:cfRule type="containsText" dxfId="252" priority="32" operator="containsText" text="P3"/>
    <x:cfRule type="containsText" dxfId="253" priority="33" operator="containsText" text="FROZEN"/>
    <x:cfRule type="containsText" dxfId="254" priority="34" operator="containsText" text="NEW"/>
  </x:conditionalFormatting>
  <x:dataValidations count="1">
    <x:dataValidation type="list" sqref="J5:J24">
      <x:formula1>"PROPOSED,OWNER DECISION,IN PROGRESS,BLOCKED,DONE,NOT REQUESTED"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befa4a74a44b6a"/>
  </x:tableParts>
</x:worksheet>
</file>